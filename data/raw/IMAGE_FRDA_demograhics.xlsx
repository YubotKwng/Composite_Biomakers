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showInkAnnotation="0" codeName="ThisWorkbook" autoCompressPictures="0"/>
  <mc:AlternateContent xmlns:mc="http://schemas.openxmlformats.org/markup-compatibility/2006">
    <mc:Choice Requires="x15">
      <x15ac:absPath xmlns:x15ac="http://schemas.microsoft.com/office/spreadsheetml/2010/11/ac" url="/Users/hardingi/Projects/4_FRDA/1_image-frda/"/>
    </mc:Choice>
  </mc:AlternateContent>
  <xr:revisionPtr revIDLastSave="0" documentId="13_ncr:1_{63D25E07-038C-C341-BFC5-56B62A2D02BC}" xr6:coauthVersionLast="43" xr6:coauthVersionMax="43" xr10:uidLastSave="{00000000-0000-0000-0000-000000000000}"/>
  <bookViews>
    <workbookView xWindow="0" yWindow="460" windowWidth="38400" windowHeight="19600" tabRatio="713" xr2:uid="{00000000-000D-0000-FFFF-FFFF00000000}"/>
  </bookViews>
  <sheets>
    <sheet name="ALL DATA MERGED" sheetId="4" r:id="rId1"/>
    <sheet name="Neurocog scores" sheetId="1" r:id="rId2"/>
    <sheet name="NART conversion scores" sheetId="7" r:id="rId3"/>
    <sheet name="Motor stats" sheetId="2" r:id="rId4"/>
    <sheet name="Motor stats yr 3" sheetId="8" r:id="rId5"/>
    <sheet name="nback stats" sheetId="3" r:id="rId6"/>
    <sheet name="Order of runs" sheetId="5" r:id="rId7"/>
    <sheet name="Clinical data" sheetId="6" r:id="rId8"/>
  </sheets>
  <calcPr calcId="19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U30" i="8" l="1"/>
  <c r="AC6" i="8"/>
  <c r="AB6" i="8"/>
  <c r="U34" i="8" l="1"/>
  <c r="T34" i="8"/>
  <c r="S34" i="8"/>
  <c r="R34" i="8"/>
  <c r="R24" i="8" l="1"/>
  <c r="N24" i="8"/>
  <c r="AB49" i="8"/>
  <c r="T30" i="8"/>
  <c r="R30" i="8"/>
  <c r="U8" i="8" l="1"/>
  <c r="T8" i="8"/>
  <c r="R8" i="8"/>
  <c r="U27" i="8"/>
  <c r="U26" i="8"/>
  <c r="T26" i="8"/>
  <c r="S26" i="8"/>
  <c r="R26" i="8"/>
  <c r="T39" i="8"/>
  <c r="R39" i="8"/>
  <c r="U38" i="8"/>
  <c r="T38" i="8"/>
  <c r="S38" i="8"/>
  <c r="R38" i="8"/>
  <c r="U35" i="8"/>
  <c r="T35" i="8"/>
  <c r="R35" i="8"/>
  <c r="S33" i="8"/>
  <c r="R33" i="8"/>
  <c r="S14" i="8"/>
  <c r="R14" i="8"/>
  <c r="R12" i="8"/>
  <c r="U31" i="8"/>
  <c r="T31" i="8"/>
  <c r="S31" i="8"/>
  <c r="R31" i="8"/>
  <c r="T27" i="8"/>
  <c r="R27" i="8"/>
  <c r="T7" i="8"/>
  <c r="R7" i="8"/>
  <c r="S6" i="8"/>
  <c r="R6" i="8"/>
  <c r="S5" i="8"/>
  <c r="R5" i="8"/>
  <c r="T84" i="8"/>
  <c r="R84" i="8"/>
  <c r="N84" i="8"/>
  <c r="U82" i="8"/>
  <c r="S82" i="8"/>
  <c r="R82" i="8"/>
  <c r="U81" i="8"/>
  <c r="T81" i="8"/>
  <c r="R81" i="8"/>
  <c r="N81" i="8"/>
  <c r="R80" i="8"/>
  <c r="K33" i="4"/>
  <c r="L33" i="4" s="1"/>
  <c r="AB33" i="4"/>
  <c r="AC33" i="4"/>
  <c r="AD33" i="4"/>
  <c r="AE33" i="4"/>
  <c r="K24" i="4"/>
  <c r="L24" i="4" s="1"/>
  <c r="AB24" i="4"/>
  <c r="AC24" i="4"/>
  <c r="AD24" i="4"/>
  <c r="AE24" i="4"/>
  <c r="K17" i="4"/>
  <c r="L17" i="4"/>
  <c r="AB17" i="4"/>
  <c r="AC17" i="4"/>
  <c r="AD17" i="4"/>
  <c r="AE17" i="4"/>
  <c r="K26" i="4"/>
  <c r="L26" i="4" s="1"/>
  <c r="U79" i="8"/>
  <c r="T79" i="8"/>
  <c r="R79" i="8"/>
  <c r="U78" i="8"/>
  <c r="T78" i="8"/>
  <c r="S78" i="8"/>
  <c r="R78" i="8"/>
  <c r="K50" i="4"/>
  <c r="L50" i="4" s="1"/>
  <c r="K51" i="4"/>
  <c r="L51" i="4" s="1"/>
  <c r="K52" i="4"/>
  <c r="L52" i="4" s="1"/>
  <c r="K53" i="4"/>
  <c r="L53" i="4"/>
  <c r="K54" i="4"/>
  <c r="L54" i="4" s="1"/>
  <c r="K55" i="4"/>
  <c r="L55" i="4"/>
  <c r="K56" i="4"/>
  <c r="L56" i="4" s="1"/>
  <c r="K57" i="4"/>
  <c r="L57" i="4"/>
  <c r="K59" i="4"/>
  <c r="L59" i="4" s="1"/>
  <c r="K60" i="4"/>
  <c r="L60" i="4"/>
  <c r="K61" i="4"/>
  <c r="L61" i="4" s="1"/>
  <c r="K62" i="4"/>
  <c r="L62" i="4"/>
  <c r="K64" i="4"/>
  <c r="L64" i="4" s="1"/>
  <c r="K65" i="4"/>
  <c r="L65" i="4"/>
  <c r="K67" i="4"/>
  <c r="L67" i="4" s="1"/>
  <c r="K68" i="4"/>
  <c r="L68" i="4"/>
  <c r="K69" i="4"/>
  <c r="L69" i="4" s="1"/>
  <c r="K70" i="4"/>
  <c r="L70" i="4"/>
  <c r="K71" i="4"/>
  <c r="L71" i="4" s="1"/>
  <c r="K72" i="4"/>
  <c r="L72" i="4"/>
  <c r="K74" i="4"/>
  <c r="L74" i="4" s="1"/>
  <c r="K76" i="4"/>
  <c r="L76" i="4"/>
  <c r="K77" i="4"/>
  <c r="L77" i="4" s="1"/>
  <c r="K78" i="4"/>
  <c r="L78" i="4"/>
  <c r="K79" i="4"/>
  <c r="L79" i="4" s="1"/>
  <c r="K80" i="4"/>
  <c r="L80" i="4"/>
  <c r="K81" i="4"/>
  <c r="L81" i="4" s="1"/>
  <c r="K82" i="4"/>
  <c r="L82" i="4"/>
  <c r="K83" i="4"/>
  <c r="L83" i="4" s="1"/>
  <c r="K85" i="4"/>
  <c r="L85" i="4"/>
  <c r="K49" i="4"/>
  <c r="L49" i="4" s="1"/>
  <c r="K6" i="4"/>
  <c r="L6" i="4"/>
  <c r="K7" i="4"/>
  <c r="L7" i="4" s="1"/>
  <c r="K8" i="4"/>
  <c r="L8" i="4"/>
  <c r="K10" i="4"/>
  <c r="L10" i="4" s="1"/>
  <c r="K12" i="4"/>
  <c r="L12" i="4"/>
  <c r="K13" i="4"/>
  <c r="L13" i="4" s="1"/>
  <c r="K14" i="4"/>
  <c r="L14" i="4"/>
  <c r="K15" i="4"/>
  <c r="L15" i="4" s="1"/>
  <c r="K16" i="4"/>
  <c r="L16" i="4"/>
  <c r="K18" i="4"/>
  <c r="L18" i="4" s="1"/>
  <c r="K19" i="4"/>
  <c r="L19" i="4"/>
  <c r="K21" i="4"/>
  <c r="L21" i="4" s="1"/>
  <c r="K22" i="4"/>
  <c r="L22" i="4"/>
  <c r="K23" i="4"/>
  <c r="L23" i="4" s="1"/>
  <c r="K25" i="4"/>
  <c r="L25" i="4"/>
  <c r="K27" i="4"/>
  <c r="L27" i="4" s="1"/>
  <c r="K29" i="4"/>
  <c r="L29" i="4"/>
  <c r="K30" i="4"/>
  <c r="L30" i="4" s="1"/>
  <c r="K31" i="4"/>
  <c r="L31" i="4"/>
  <c r="K32" i="4"/>
  <c r="L32" i="4" s="1"/>
  <c r="K34" i="4"/>
  <c r="L34" i="4"/>
  <c r="K35" i="4"/>
  <c r="L35" i="4" s="1"/>
  <c r="K37" i="4"/>
  <c r="L37" i="4"/>
  <c r="K38" i="4"/>
  <c r="L38" i="4" s="1"/>
  <c r="K39" i="4"/>
  <c r="L39" i="4"/>
  <c r="K40" i="4"/>
  <c r="L40" i="4" s="1"/>
  <c r="K5" i="4"/>
  <c r="L5" i="4"/>
  <c r="T77" i="8"/>
  <c r="R77" i="8"/>
  <c r="N77" i="8"/>
  <c r="T69" i="8"/>
  <c r="R69" i="8"/>
  <c r="T56" i="8"/>
  <c r="R56" i="8"/>
  <c r="S53" i="8"/>
  <c r="R53" i="8"/>
  <c r="AE35" i="4"/>
  <c r="AE32" i="4"/>
  <c r="AE31" i="4"/>
  <c r="AE30" i="4"/>
  <c r="AE29" i="4"/>
  <c r="AE27" i="4"/>
  <c r="AE26" i="4"/>
  <c r="AE23" i="4"/>
  <c r="AE21" i="4"/>
  <c r="AE19" i="4"/>
  <c r="AE18" i="4"/>
  <c r="AE16" i="4"/>
  <c r="AE15" i="4"/>
  <c r="AE14" i="4"/>
  <c r="AE13" i="4"/>
  <c r="AE12" i="4"/>
  <c r="AE10" i="4"/>
  <c r="AE8" i="4"/>
  <c r="AE7" i="4"/>
  <c r="AE6" i="4"/>
  <c r="AE5" i="4"/>
  <c r="AD40" i="4"/>
  <c r="AD39" i="4"/>
  <c r="AD38" i="4"/>
  <c r="AD37" i="4"/>
  <c r="AD36" i="4"/>
  <c r="AD35" i="4"/>
  <c r="AD34" i="4"/>
  <c r="AD32" i="4"/>
  <c r="AD31" i="4"/>
  <c r="AD30" i="4"/>
  <c r="AD29" i="4"/>
  <c r="AD28" i="4"/>
  <c r="AD27" i="4"/>
  <c r="AD26" i="4"/>
  <c r="AD25" i="4"/>
  <c r="AD23" i="4"/>
  <c r="AD21" i="4"/>
  <c r="AD19" i="4"/>
  <c r="AD18" i="4"/>
  <c r="AD16" i="4"/>
  <c r="AD15" i="4"/>
  <c r="AD14" i="4"/>
  <c r="AD13" i="4"/>
  <c r="AD12" i="4"/>
  <c r="AD11" i="4"/>
  <c r="AD10" i="4"/>
  <c r="AD9" i="4"/>
  <c r="AD8" i="4"/>
  <c r="AD7" i="4"/>
  <c r="AD6" i="4"/>
  <c r="AD5" i="4"/>
  <c r="AC32" i="4"/>
  <c r="AC31" i="4"/>
  <c r="AC29" i="4"/>
  <c r="AC26" i="4"/>
  <c r="AC18" i="4"/>
  <c r="AC15" i="4"/>
  <c r="AC14" i="4"/>
  <c r="AC12" i="4"/>
  <c r="AC10" i="4"/>
  <c r="AC8" i="4"/>
  <c r="AC6" i="4"/>
  <c r="AC5" i="4"/>
  <c r="AB40" i="4"/>
  <c r="AB39" i="4"/>
  <c r="AB38" i="4"/>
  <c r="AB37" i="4"/>
  <c r="AB36" i="4"/>
  <c r="AB35" i="4"/>
  <c r="AB34" i="4"/>
  <c r="AB32" i="4"/>
  <c r="AB31" i="4"/>
  <c r="AB30" i="4"/>
  <c r="AB29" i="4"/>
  <c r="AB28" i="4"/>
  <c r="AB27" i="4"/>
  <c r="AB26" i="4"/>
  <c r="AB25" i="4"/>
  <c r="AB23" i="4"/>
  <c r="AB22" i="4"/>
  <c r="AB21" i="4"/>
  <c r="AB20" i="4"/>
  <c r="AB19" i="4"/>
  <c r="AB18" i="4"/>
  <c r="AB16" i="4"/>
  <c r="AB15" i="4"/>
  <c r="AB14" i="4"/>
  <c r="AB13" i="4"/>
  <c r="AB12" i="4"/>
  <c r="AB11" i="4"/>
  <c r="AB10" i="4"/>
  <c r="AB9" i="4"/>
  <c r="AB8" i="4"/>
  <c r="AB7" i="4"/>
  <c r="AB6" i="4"/>
  <c r="AB5" i="4"/>
  <c r="R51" i="8"/>
  <c r="AB50" i="8"/>
  <c r="AB48" i="8"/>
  <c r="AC48" i="8" s="1"/>
  <c r="AB51" i="8"/>
  <c r="AC51" i="8" s="1"/>
  <c r="AC50" i="8"/>
  <c r="AC49" i="8"/>
  <c r="S49" i="8"/>
  <c r="R49" i="8"/>
  <c r="S48" i="8"/>
  <c r="T48" i="8"/>
  <c r="U48" i="8" s="1"/>
  <c r="R48" i="8"/>
  <c r="N48" i="8"/>
  <c r="AB84" i="8"/>
  <c r="AC84" i="8" s="1"/>
  <c r="AB83" i="8"/>
  <c r="AC83" i="8" s="1"/>
  <c r="AB82" i="8"/>
  <c r="AC82" i="8" s="1"/>
  <c r="AB81" i="8"/>
  <c r="AC81" i="8"/>
  <c r="AB80" i="8"/>
  <c r="AC80" i="8" s="1"/>
  <c r="AB79" i="8"/>
  <c r="AC79" i="8"/>
  <c r="AB78" i="8"/>
  <c r="AC78" i="8" s="1"/>
  <c r="AB77" i="8"/>
  <c r="AC77" i="8"/>
  <c r="AB76" i="8"/>
  <c r="AC76" i="8" s="1"/>
  <c r="AB75" i="8"/>
  <c r="AC75" i="8"/>
  <c r="AB74" i="8"/>
  <c r="AC74" i="8" s="1"/>
  <c r="AB73" i="8"/>
  <c r="AC73" i="8"/>
  <c r="AB72" i="8"/>
  <c r="AC72" i="8" s="1"/>
  <c r="AB71" i="8"/>
  <c r="AC71" i="8"/>
  <c r="AB70" i="8"/>
  <c r="AC70" i="8" s="1"/>
  <c r="AB69" i="8"/>
  <c r="AC69" i="8"/>
  <c r="AB68" i="8"/>
  <c r="AC68" i="8" s="1"/>
  <c r="AB67" i="8"/>
  <c r="AC67" i="8"/>
  <c r="AB66" i="8"/>
  <c r="AC66" i="8" s="1"/>
  <c r="AB65" i="8"/>
  <c r="AC65" i="8"/>
  <c r="AB64" i="8"/>
  <c r="AC64" i="8" s="1"/>
  <c r="AB63" i="8"/>
  <c r="AC63" i="8"/>
  <c r="AB62" i="8"/>
  <c r="AC62" i="8" s="1"/>
  <c r="AB61" i="8"/>
  <c r="AC61" i="8"/>
  <c r="AB60" i="8"/>
  <c r="AC60" i="8" s="1"/>
  <c r="AB59" i="8"/>
  <c r="AC59" i="8"/>
  <c r="AB58" i="8"/>
  <c r="AC58" i="8" s="1"/>
  <c r="AB57" i="8"/>
  <c r="AC57" i="8"/>
  <c r="AB56" i="8"/>
  <c r="AC56" i="8" s="1"/>
  <c r="AB55" i="8"/>
  <c r="AC55" i="8"/>
  <c r="AB54" i="8"/>
  <c r="AC54" i="8" s="1"/>
  <c r="AB53" i="8"/>
  <c r="AC53" i="8"/>
  <c r="AB52" i="8"/>
  <c r="AC52" i="8" s="1"/>
  <c r="AB40" i="8"/>
  <c r="AC40" i="8"/>
  <c r="AB39" i="8"/>
  <c r="AC39" i="8" s="1"/>
  <c r="AB38" i="8"/>
  <c r="AC38" i="8"/>
  <c r="AB35" i="8"/>
  <c r="AC35" i="8" s="1"/>
  <c r="AB34" i="8"/>
  <c r="AC34" i="8" s="1"/>
  <c r="AB33" i="8"/>
  <c r="AC33" i="8"/>
  <c r="AB32" i="8"/>
  <c r="AC32" i="8" s="1"/>
  <c r="AB31" i="8"/>
  <c r="AC31" i="8"/>
  <c r="AB30" i="8"/>
  <c r="AC30" i="8" s="1"/>
  <c r="AB29" i="8"/>
  <c r="AC29" i="8" s="1"/>
  <c r="AB28" i="8"/>
  <c r="AC28" i="8"/>
  <c r="AB27" i="8"/>
  <c r="AC27" i="8" s="1"/>
  <c r="AB26" i="8"/>
  <c r="AC26" i="8"/>
  <c r="AB25" i="8"/>
  <c r="AC25" i="8" s="1"/>
  <c r="AB24" i="8"/>
  <c r="AC24" i="8" s="1"/>
  <c r="AB23" i="8"/>
  <c r="AC23" i="8"/>
  <c r="AB22" i="8"/>
  <c r="AC22" i="8" s="1"/>
  <c r="AB21" i="8"/>
  <c r="AC21" i="8"/>
  <c r="AB20" i="8"/>
  <c r="AC20" i="8" s="1"/>
  <c r="AB19" i="8"/>
  <c r="AC19" i="8"/>
  <c r="AB18" i="8"/>
  <c r="AC18" i="8" s="1"/>
  <c r="AB17" i="8"/>
  <c r="AC17" i="8"/>
  <c r="AB16" i="8"/>
  <c r="AC16" i="8" s="1"/>
  <c r="AB15" i="8"/>
  <c r="AC15" i="8"/>
  <c r="AB14" i="8"/>
  <c r="AC14" i="8" s="1"/>
  <c r="AB13" i="8"/>
  <c r="AC13" i="8"/>
  <c r="AB12" i="8"/>
  <c r="AC12" i="8" s="1"/>
  <c r="AC11" i="8"/>
  <c r="AB10" i="8"/>
  <c r="AC10" i="8" s="1"/>
  <c r="AC9" i="8"/>
  <c r="AB9" i="8"/>
  <c r="AC8" i="8"/>
  <c r="AB8" i="8"/>
  <c r="AC7" i="8"/>
  <c r="AB7" i="8"/>
  <c r="AC5" i="8"/>
  <c r="AB5" i="8"/>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3" i="7"/>
  <c r="C4" i="7"/>
  <c r="C5" i="7"/>
  <c r="C6" i="7"/>
  <c r="C7" i="7"/>
  <c r="C8" i="7"/>
  <c r="C9" i="7"/>
  <c r="C10" i="7"/>
  <c r="C11" i="7"/>
  <c r="C12" i="7"/>
  <c r="C14" i="7"/>
  <c r="C15" i="7"/>
  <c r="C16" i="7"/>
  <c r="C17" i="7"/>
  <c r="C18" i="7"/>
  <c r="C19" i="7"/>
  <c r="C20" i="7"/>
  <c r="C21" i="7"/>
  <c r="C22" i="7"/>
  <c r="C23" i="7"/>
  <c r="C24" i="7"/>
  <c r="C25" i="7"/>
  <c r="C26" i="7"/>
  <c r="C27" i="7"/>
  <c r="C28" i="7"/>
  <c r="C29" i="7"/>
  <c r="C30" i="7"/>
  <c r="C31" i="7"/>
  <c r="C32" i="7"/>
  <c r="C33" i="7"/>
  <c r="C34" i="7"/>
  <c r="C35" i="7"/>
  <c r="C36" i="7"/>
  <c r="C37" i="7"/>
  <c r="C38" i="7"/>
  <c r="C39"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3" i="7"/>
  <c r="X6" i="7"/>
  <c r="W77" i="7"/>
  <c r="W76" i="7"/>
  <c r="W75" i="7"/>
  <c r="W74" i="7"/>
  <c r="W73" i="7"/>
  <c r="W72" i="7"/>
  <c r="W71" i="7"/>
  <c r="W70" i="7"/>
  <c r="W69" i="7"/>
  <c r="W68" i="7"/>
  <c r="W67" i="7"/>
  <c r="W66" i="7"/>
  <c r="W65" i="7"/>
  <c r="W64" i="7"/>
  <c r="W63" i="7"/>
  <c r="W62" i="7"/>
  <c r="W61" i="7"/>
  <c r="W60" i="7"/>
  <c r="W59" i="7"/>
  <c r="W58" i="7"/>
  <c r="W57" i="7"/>
  <c r="W56" i="7"/>
  <c r="W55" i="7"/>
  <c r="W54" i="7"/>
  <c r="W53" i="7"/>
  <c r="W52" i="7"/>
  <c r="W51" i="7"/>
  <c r="W50" i="7"/>
  <c r="W49" i="7"/>
  <c r="W48" i="7"/>
  <c r="W47" i="7"/>
  <c r="W46" i="7"/>
  <c r="W45" i="7"/>
  <c r="W44" i="7"/>
  <c r="W43" i="7"/>
  <c r="W42" i="7"/>
  <c r="W41" i="7"/>
  <c r="W40" i="7"/>
  <c r="W39" i="7"/>
  <c r="W38" i="7"/>
  <c r="W37" i="7"/>
  <c r="W36" i="7"/>
  <c r="W35" i="7"/>
  <c r="W34" i="7"/>
  <c r="W33" i="7"/>
  <c r="W32" i="7"/>
  <c r="W31" i="7"/>
  <c r="W30" i="7"/>
  <c r="W29" i="7"/>
  <c r="W28" i="7"/>
  <c r="W27" i="7"/>
  <c r="W26" i="7"/>
  <c r="W25" i="7"/>
  <c r="W24" i="7"/>
  <c r="W23" i="7"/>
  <c r="W22" i="7"/>
  <c r="W21" i="7"/>
  <c r="W20" i="7"/>
  <c r="W19" i="7"/>
  <c r="W18" i="7"/>
  <c r="W17" i="7"/>
  <c r="W16" i="7"/>
  <c r="W15" i="7"/>
  <c r="W14" i="7"/>
  <c r="W13" i="7"/>
  <c r="W11" i="7"/>
  <c r="W10" i="7"/>
  <c r="W9" i="7"/>
  <c r="W8" i="7"/>
  <c r="W7" i="7"/>
  <c r="W6" i="7"/>
  <c r="W5" i="7"/>
  <c r="W4" i="7"/>
  <c r="W3" i="7"/>
  <c r="W2" i="7"/>
  <c r="U29" i="2"/>
  <c r="T29" i="2"/>
  <c r="S29" i="2"/>
  <c r="R29" i="2"/>
  <c r="U32" i="2"/>
  <c r="T32" i="2"/>
  <c r="R32" i="2"/>
  <c r="N32" i="2"/>
  <c r="AB40" i="2"/>
  <c r="AC40" i="2" s="1"/>
  <c r="U38" i="2"/>
  <c r="T38" i="2"/>
  <c r="S38" i="2"/>
  <c r="R38" i="2"/>
  <c r="N38" i="2"/>
  <c r="U35" i="2"/>
  <c r="T35" i="2"/>
  <c r="S35" i="2"/>
  <c r="R35" i="2"/>
  <c r="AB25" i="2"/>
  <c r="AC25" i="2" s="1"/>
  <c r="AB26" i="2"/>
  <c r="AC26" i="2"/>
  <c r="U26" i="2"/>
  <c r="T26" i="2"/>
  <c r="S26" i="2"/>
  <c r="R26" i="2"/>
  <c r="AB38" i="2"/>
  <c r="AC38" i="2" s="1"/>
  <c r="AB39" i="2"/>
  <c r="AC39" i="2"/>
  <c r="U31" i="2"/>
  <c r="S31" i="2"/>
  <c r="R31" i="2"/>
  <c r="N31" i="2"/>
  <c r="AB84" i="2"/>
  <c r="AC84" i="2" s="1"/>
  <c r="AB83" i="2"/>
  <c r="AC83" i="2"/>
  <c r="AB82" i="2"/>
  <c r="AC82" i="2" s="1"/>
  <c r="U82" i="2"/>
  <c r="T82" i="2"/>
  <c r="S82" i="2"/>
  <c r="R82" i="2"/>
  <c r="N82" i="2"/>
  <c r="AB81" i="2"/>
  <c r="AC81" i="2"/>
  <c r="U81" i="2"/>
  <c r="T81" i="2"/>
  <c r="R81" i="2"/>
  <c r="N81" i="2"/>
  <c r="AB80" i="2"/>
  <c r="AC80" i="2" s="1"/>
  <c r="U80" i="2"/>
  <c r="T80" i="2"/>
  <c r="S80" i="2"/>
  <c r="R80" i="2"/>
  <c r="AB79" i="2"/>
  <c r="AC79" i="2"/>
  <c r="AB78" i="2"/>
  <c r="AC78" i="2" s="1"/>
  <c r="U78" i="2"/>
  <c r="S78" i="2"/>
  <c r="R78" i="2"/>
  <c r="N78" i="2"/>
  <c r="AB77" i="2"/>
  <c r="AC77" i="2"/>
  <c r="S77" i="2"/>
  <c r="R77" i="2"/>
  <c r="AB76" i="2"/>
  <c r="AC76" i="2"/>
  <c r="AB75" i="2"/>
  <c r="AC75" i="2" s="1"/>
  <c r="AB74" i="2"/>
  <c r="AC74" i="2"/>
  <c r="U74" i="2"/>
  <c r="T74" i="2"/>
  <c r="R74" i="2"/>
  <c r="AB73" i="2"/>
  <c r="AC73" i="2" s="1"/>
  <c r="T73" i="2"/>
  <c r="R73" i="2"/>
  <c r="AB72" i="2"/>
  <c r="AC72" i="2" s="1"/>
  <c r="Q34" i="7"/>
  <c r="Q35" i="7"/>
  <c r="Q36" i="7"/>
  <c r="Q37" i="7"/>
  <c r="Q38" i="7"/>
  <c r="Q39" i="7"/>
  <c r="Q40" i="7"/>
  <c r="AB71" i="2"/>
  <c r="AC71" i="2" s="1"/>
  <c r="U71" i="2"/>
  <c r="T71" i="2"/>
  <c r="S71" i="2"/>
  <c r="R71" i="2"/>
  <c r="AB27" i="2"/>
  <c r="AC27" i="2"/>
  <c r="AB28" i="2"/>
  <c r="AC28" i="2" s="1"/>
  <c r="AB29" i="2"/>
  <c r="AC29" i="2"/>
  <c r="AB30" i="2"/>
  <c r="AC30" i="2" s="1"/>
  <c r="AB31" i="2"/>
  <c r="AC31" i="2"/>
  <c r="AB32" i="2"/>
  <c r="AC32" i="2" s="1"/>
  <c r="AB33" i="2"/>
  <c r="AC33" i="2"/>
  <c r="AB34" i="2"/>
  <c r="AC34" i="2" s="1"/>
  <c r="AB35" i="2"/>
  <c r="AC35" i="2"/>
  <c r="AB36" i="2"/>
  <c r="AC36" i="2" s="1"/>
  <c r="AB37" i="2"/>
  <c r="AC37" i="2"/>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65" i="7"/>
  <c r="AB70" i="2"/>
  <c r="AC70" i="2"/>
  <c r="AB69" i="2"/>
  <c r="AC69" i="2" s="1"/>
  <c r="T69" i="2"/>
  <c r="S69" i="2"/>
  <c r="R69" i="2"/>
  <c r="Q64" i="7"/>
  <c r="Q63" i="7"/>
  <c r="AB68" i="2"/>
  <c r="AC68" i="2"/>
  <c r="AB67" i="2"/>
  <c r="AC67" i="2" s="1"/>
  <c r="U67" i="2"/>
  <c r="S67" i="2"/>
  <c r="R67" i="2"/>
  <c r="Q62" i="7"/>
  <c r="Q61" i="7"/>
  <c r="AB66" i="2"/>
  <c r="AC66" i="2" s="1"/>
  <c r="S66" i="2"/>
  <c r="R66" i="2"/>
  <c r="U64" i="2"/>
  <c r="S64" i="2"/>
  <c r="R64" i="2"/>
  <c r="Q60" i="7"/>
  <c r="Q59" i="7"/>
  <c r="Q58" i="7"/>
  <c r="AB24" i="2"/>
  <c r="AC24" i="2"/>
  <c r="U23" i="2"/>
  <c r="T23" i="2"/>
  <c r="S23" i="2"/>
  <c r="R23" i="2"/>
  <c r="U22" i="2"/>
  <c r="T22" i="2"/>
  <c r="R22" i="2"/>
  <c r="Q24" i="7"/>
  <c r="Q25" i="7"/>
  <c r="Q26" i="7"/>
  <c r="Q27" i="7"/>
  <c r="Q28" i="7"/>
  <c r="Q29" i="7"/>
  <c r="Q30" i="7"/>
  <c r="Q31" i="7"/>
  <c r="Q32" i="7"/>
  <c r="Q33" i="7"/>
  <c r="U20" i="2"/>
  <c r="S20" i="2"/>
  <c r="R20" i="2"/>
  <c r="U63" i="2"/>
  <c r="S63" i="2"/>
  <c r="R63" i="2"/>
  <c r="AB9" i="2"/>
  <c r="AC9" i="2"/>
  <c r="U9" i="2"/>
  <c r="T9" i="2"/>
  <c r="R9" i="2"/>
  <c r="AB17" i="2"/>
  <c r="AC17" i="2" s="1"/>
  <c r="AB18" i="2"/>
  <c r="AC18" i="2"/>
  <c r="AB19" i="2"/>
  <c r="AC19" i="2" s="1"/>
  <c r="AB20" i="2"/>
  <c r="AC20" i="2"/>
  <c r="AB21" i="2"/>
  <c r="AC21" i="2" s="1"/>
  <c r="AB22" i="2"/>
  <c r="AC22" i="2"/>
  <c r="AB23" i="2"/>
  <c r="AC23" i="2" s="1"/>
  <c r="U17" i="2"/>
  <c r="S17" i="2"/>
  <c r="R17" i="2"/>
  <c r="AB16" i="2"/>
  <c r="AC16" i="2" s="1"/>
  <c r="U16" i="2"/>
  <c r="T16" i="2"/>
  <c r="R16" i="2"/>
  <c r="AB15" i="2"/>
  <c r="AC15" i="2"/>
  <c r="AB14" i="2"/>
  <c r="AC14" i="2" s="1"/>
  <c r="T14" i="2"/>
  <c r="S14" i="2"/>
  <c r="U14" i="2"/>
  <c r="R14" i="2"/>
  <c r="P14" i="2"/>
  <c r="O14" i="2"/>
  <c r="N14" i="2"/>
  <c r="AB13" i="2"/>
  <c r="AC13" i="2" s="1"/>
  <c r="T13" i="2"/>
  <c r="S13" i="2"/>
  <c r="U13" i="2" s="1"/>
  <c r="R13" i="2"/>
  <c r="P13" i="2"/>
  <c r="O13" i="2"/>
  <c r="N13" i="2"/>
  <c r="Q57" i="7"/>
  <c r="Q56" i="7"/>
  <c r="Q14" i="7"/>
  <c r="Q15" i="7"/>
  <c r="Q16" i="7"/>
  <c r="Q17" i="7"/>
  <c r="Q18" i="7"/>
  <c r="Q19" i="7"/>
  <c r="Q20" i="7"/>
  <c r="Q21" i="7"/>
  <c r="Q22" i="7"/>
  <c r="Q23" i="7"/>
  <c r="Q55" i="7"/>
  <c r="T58" i="2"/>
  <c r="R58" i="2"/>
  <c r="U57" i="2"/>
  <c r="T57" i="2"/>
  <c r="S57" i="2"/>
  <c r="R57" i="2"/>
  <c r="N57" i="2"/>
  <c r="AB57" i="2"/>
  <c r="AC57" i="2"/>
  <c r="AB58" i="2"/>
  <c r="AC58" i="2" s="1"/>
  <c r="AB59" i="2"/>
  <c r="AC59" i="2"/>
  <c r="AB60" i="2"/>
  <c r="AC60" i="2" s="1"/>
  <c r="AB61" i="2"/>
  <c r="AC61" i="2"/>
  <c r="AB62" i="2"/>
  <c r="AC62" i="2" s="1"/>
  <c r="AB63" i="2"/>
  <c r="AC63" i="2"/>
  <c r="AB64" i="2"/>
  <c r="AC64" i="2" s="1"/>
  <c r="AB65" i="2"/>
  <c r="AC65" i="2"/>
  <c r="AB56" i="2"/>
  <c r="AC56" i="2" s="1"/>
  <c r="T56" i="2"/>
  <c r="R56" i="2"/>
  <c r="AB55" i="2"/>
  <c r="AC55" i="2" s="1"/>
  <c r="Q54" i="7"/>
  <c r="Q53" i="7"/>
  <c r="AB12" i="2"/>
  <c r="AC12" i="2" s="1"/>
  <c r="T12" i="2"/>
  <c r="R12" i="2"/>
  <c r="AC11" i="2"/>
  <c r="T11" i="2"/>
  <c r="S11" i="2"/>
  <c r="U11" i="2"/>
  <c r="R11" i="2"/>
  <c r="N11" i="2"/>
  <c r="AB10" i="2"/>
  <c r="AC10" i="2"/>
  <c r="Q52" i="7"/>
  <c r="Q51" i="7"/>
  <c r="AB54" i="2"/>
  <c r="AC54" i="2"/>
  <c r="T54" i="2"/>
  <c r="R54" i="2"/>
  <c r="AB53" i="2"/>
  <c r="AC53" i="2"/>
  <c r="T53" i="2"/>
  <c r="R53" i="2"/>
  <c r="Q50" i="7"/>
  <c r="Q49" i="7"/>
  <c r="Q48" i="7"/>
  <c r="Q47" i="7"/>
  <c r="Q46" i="7"/>
  <c r="Q45" i="7"/>
  <c r="Q44" i="7"/>
  <c r="Q43" i="7"/>
  <c r="Q42" i="7"/>
  <c r="Q12" i="7"/>
  <c r="Q11" i="7"/>
  <c r="Q10" i="7"/>
  <c r="Q9" i="7"/>
  <c r="Q8" i="7"/>
  <c r="Q7" i="7"/>
  <c r="Q6" i="7"/>
  <c r="Q5" i="7"/>
  <c r="Q4" i="7"/>
  <c r="Q3" i="7"/>
  <c r="AB52" i="2"/>
  <c r="AC52" i="2" s="1"/>
  <c r="S52" i="2"/>
  <c r="R52" i="2"/>
  <c r="AC51" i="2"/>
  <c r="AB51" i="2"/>
  <c r="S51" i="2"/>
  <c r="R51" i="2"/>
  <c r="AB48" i="2"/>
  <c r="AC48" i="2" s="1"/>
  <c r="T48" i="2"/>
  <c r="N48" i="2"/>
  <c r="R48" i="2" s="1"/>
  <c r="AC50" i="2"/>
  <c r="AB50" i="2"/>
  <c r="AC49" i="2"/>
  <c r="AB49" i="2"/>
  <c r="S49" i="2"/>
  <c r="R49" i="2"/>
  <c r="N49" i="2"/>
  <c r="AC8" i="2"/>
  <c r="AB8" i="2"/>
  <c r="U8" i="2"/>
  <c r="R8" i="2"/>
  <c r="P8" i="2"/>
  <c r="T8" i="2" s="1"/>
  <c r="O8" i="2"/>
  <c r="S8" i="2"/>
  <c r="N8" i="2"/>
  <c r="N6" i="2"/>
  <c r="O6" i="2"/>
  <c r="S6" i="2"/>
  <c r="P6" i="2"/>
  <c r="T6" i="2" s="1"/>
  <c r="N7" i="2"/>
  <c r="O7" i="2"/>
  <c r="S7" i="2" s="1"/>
  <c r="P7" i="2"/>
  <c r="T7" i="2"/>
  <c r="P5" i="2"/>
  <c r="T5" i="2" s="1"/>
  <c r="O5" i="2"/>
  <c r="S5" i="2"/>
  <c r="N5" i="2"/>
  <c r="AB6" i="2"/>
  <c r="AB7" i="2"/>
  <c r="AB5" i="2"/>
  <c r="AC7" i="2"/>
  <c r="R7" i="2"/>
  <c r="U7" i="2"/>
  <c r="AC6" i="2"/>
  <c r="R6" i="2"/>
  <c r="U6" i="2"/>
  <c r="AC5" i="2"/>
  <c r="U5" i="2"/>
  <c r="R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Monique Stagnitti</author>
  </authors>
  <commentList>
    <comment ref="A4" authorId="0" shapeId="0" xr:uid="{00000000-0006-0000-0000-000001000000}">
      <text>
        <r>
          <rPr>
            <b/>
            <sz val="9"/>
            <color indexed="81"/>
            <rFont val="Tahoma"/>
            <family val="2"/>
          </rPr>
          <t>Monique Stagnitti:</t>
        </r>
        <r>
          <rPr>
            <sz val="9"/>
            <color indexed="81"/>
            <rFont val="Tahoma"/>
            <family val="2"/>
          </rPr>
          <t xml:space="preserve">
Bottom head coil turned off, therefore no useable MRI data. Rescanned at 54.12 - same behavoural data used
</t>
        </r>
      </text>
    </comment>
    <comment ref="A5" authorId="0" shapeId="0" xr:uid="{00000000-0006-0000-0000-000002000000}">
      <text>
        <r>
          <rPr>
            <b/>
            <sz val="9"/>
            <color indexed="81"/>
            <rFont val="Tahoma"/>
            <family val="2"/>
          </rPr>
          <t>Monique Stagnitti:</t>
        </r>
        <r>
          <rPr>
            <sz val="9"/>
            <color indexed="81"/>
            <rFont val="Tahoma"/>
            <family val="2"/>
          </rPr>
          <t xml:space="preserve">
was holding button down for start of nback task, therefore more responses were recorded than intended. Had trouble gripping button box distinguishing button.
</t>
        </r>
        <r>
          <rPr>
            <b/>
            <sz val="9"/>
            <color indexed="81"/>
            <rFont val="Tahoma"/>
            <family val="2"/>
          </rPr>
          <t>2015:
Was holding button down at beginning of CogBlock2 (run 1 for scan) so possbily discard first few blocks?
Started having neck spasms towards the end of CogBlock1 (run 2). Was taken out of scanner to relax neck, and then put back in. New localiser from resting state. Resting state diff position to other functionals.</t>
        </r>
      </text>
    </comment>
    <comment ref="A6" authorId="0" shapeId="0" xr:uid="{00000000-0006-0000-0000-000003000000}">
      <text>
        <r>
          <rPr>
            <b/>
            <sz val="9"/>
            <color indexed="81"/>
            <rFont val="Tahoma"/>
            <family val="2"/>
          </rPr>
          <t>Monique Stagnitti:</t>
        </r>
        <r>
          <rPr>
            <sz val="9"/>
            <color indexed="81"/>
            <rFont val="Tahoma"/>
            <family val="2"/>
          </rPr>
          <t xml:space="preserve">
</t>
        </r>
        <r>
          <rPr>
            <b/>
            <sz val="9"/>
            <color indexed="81"/>
            <rFont val="Tahoma"/>
            <family val="2"/>
          </rPr>
          <t>2015:
Was holding down buttons during CogBlock1 (run1). Discount?</t>
        </r>
      </text>
    </comment>
    <comment ref="A7" authorId="0" shapeId="0" xr:uid="{00000000-0006-0000-0000-000004000000}">
      <text>
        <r>
          <rPr>
            <b/>
            <sz val="9"/>
            <color indexed="81"/>
            <rFont val="Tahoma"/>
            <family val="2"/>
          </rPr>
          <t>Monique Stagnitti:</t>
        </r>
        <r>
          <rPr>
            <sz val="9"/>
            <color indexed="81"/>
            <rFont val="Tahoma"/>
            <family val="2"/>
          </rPr>
          <t xml:space="preserve">
use data despite BDI&gt;21. Extenuating circumstances the week of test
</t>
        </r>
        <r>
          <rPr>
            <b/>
            <sz val="9"/>
            <color indexed="81"/>
            <rFont val="Tahoma"/>
            <family val="2"/>
          </rPr>
          <t>2015:
Has since been diagnosed with depression, has been trialing antidepressants (i.e zoloft, avanza)</t>
        </r>
      </text>
    </comment>
    <comment ref="A8" authorId="0" shapeId="0" xr:uid="{00000000-0006-0000-0000-000005000000}">
      <text>
        <r>
          <rPr>
            <b/>
            <sz val="9"/>
            <color indexed="81"/>
            <rFont val="Tahoma"/>
            <family val="2"/>
          </rPr>
          <t>Monique Stagnitti:</t>
        </r>
        <r>
          <rPr>
            <sz val="9"/>
            <color indexed="81"/>
            <rFont val="Tahoma"/>
            <family val="2"/>
          </rPr>
          <t xml:space="preserve">
English is second languge. Disregard, NART, Haylings and BDI. BDI score noted with case manager. Did not achieve &gt;75% on practice n-back trials. (obtained 50% accuracy)
</t>
        </r>
        <r>
          <rPr>
            <b/>
            <sz val="9"/>
            <color indexed="81"/>
            <rFont val="Tahoma"/>
            <family val="2"/>
          </rPr>
          <t>2015:
English as second language. Discount NART and Haylings</t>
        </r>
      </text>
    </comment>
    <comment ref="A9" authorId="0" shapeId="0" xr:uid="{00000000-0006-0000-0000-000006000000}">
      <text>
        <r>
          <rPr>
            <b/>
            <sz val="9"/>
            <color indexed="81"/>
            <rFont val="Tahoma"/>
            <family val="2"/>
          </rPr>
          <t>Monique Stagnitti:</t>
        </r>
        <r>
          <rPr>
            <sz val="9"/>
            <color indexed="81"/>
            <rFont val="Tahoma"/>
            <family val="2"/>
          </rPr>
          <t xml:space="preserve">
Clinical depressive disorder. Do not use data in group analysis
</t>
        </r>
      </text>
    </comment>
    <comment ref="A10" authorId="0" shapeId="0" xr:uid="{00000000-0006-0000-0000-000007000000}">
      <text>
        <r>
          <rPr>
            <b/>
            <sz val="9"/>
            <color indexed="81"/>
            <rFont val="Tahoma"/>
            <family val="2"/>
          </rPr>
          <t>Monique Stagnitti:</t>
        </r>
        <r>
          <rPr>
            <sz val="9"/>
            <color indexed="81"/>
            <rFont val="Tahoma"/>
            <family val="2"/>
          </rPr>
          <t xml:space="preserve">
moved in between scans. Moved after first T2 mag transfer. Therefore functional and structural scans are in a different plane</t>
        </r>
      </text>
    </comment>
    <comment ref="A11" authorId="0" shapeId="0" xr:uid="{00000000-0006-0000-0000-000008000000}">
      <text>
        <r>
          <rPr>
            <b/>
            <sz val="9"/>
            <color indexed="81"/>
            <rFont val="Tahoma"/>
            <family val="2"/>
          </rPr>
          <t>Monique Stagnitti:</t>
        </r>
        <r>
          <rPr>
            <sz val="9"/>
            <color indexed="81"/>
            <rFont val="Tahoma"/>
            <family val="2"/>
          </rPr>
          <t xml:space="preserve">
Did not understand/remember self-paced tapping instruction. Do not use self-paced data
</t>
        </r>
      </text>
    </comment>
    <comment ref="A12" authorId="0" shapeId="0" xr:uid="{00000000-0006-0000-0000-000009000000}">
      <text>
        <r>
          <rPr>
            <b/>
            <sz val="9"/>
            <color indexed="81"/>
            <rFont val="Tahoma"/>
            <family val="2"/>
          </rPr>
          <t>Monique Stagnitti:</t>
        </r>
        <r>
          <rPr>
            <sz val="9"/>
            <color indexed="81"/>
            <rFont val="Tahoma"/>
            <family val="2"/>
          </rPr>
          <t xml:space="preserve">
English as second language. Use NART?
</t>
        </r>
        <r>
          <rPr>
            <b/>
            <sz val="9"/>
            <color indexed="81"/>
            <rFont val="Tahoma"/>
            <family val="2"/>
          </rPr>
          <t>2015:</t>
        </r>
        <r>
          <rPr>
            <sz val="9"/>
            <color indexed="81"/>
            <rFont val="Tahoma"/>
            <family val="2"/>
          </rPr>
          <t xml:space="preserve">
English as second language. Don't use NART.
Button responses not recodered for cog run 1 (block 2) as participant was unable to feel buttons. This was not the case for the second cog task - cog block 1. 
T2 and diffusion scans not obtained. particpant was in pain and could no longer continue. Last 5 scans not obtained</t>
        </r>
      </text>
    </comment>
    <comment ref="A13" authorId="0" shapeId="0" xr:uid="{00000000-0006-0000-0000-00000A000000}">
      <text>
        <r>
          <rPr>
            <b/>
            <sz val="9"/>
            <color indexed="81"/>
            <rFont val="Tahoma"/>
            <family val="2"/>
          </rPr>
          <t>Monique Stagnitti:</t>
        </r>
        <r>
          <rPr>
            <sz val="9"/>
            <color indexed="81"/>
            <rFont val="Tahoma"/>
            <family val="2"/>
          </rPr>
          <t xml:space="preserve">
</t>
        </r>
        <r>
          <rPr>
            <b/>
            <sz val="9"/>
            <color indexed="81"/>
            <rFont val="Tahoma"/>
            <family val="2"/>
          </rPr>
          <t>2015:</t>
        </r>
        <r>
          <rPr>
            <sz val="9"/>
            <color indexed="81"/>
            <rFont val="Tahoma"/>
            <family val="2"/>
          </rPr>
          <t xml:space="preserve">
Was holding down button for cogblock2 run1, so resopnses weren't recorded</t>
        </r>
      </text>
    </comment>
    <comment ref="A14" authorId="0" shapeId="0" xr:uid="{00000000-0006-0000-0000-00000B000000}">
      <text>
        <r>
          <rPr>
            <b/>
            <sz val="9"/>
            <color indexed="81"/>
            <rFont val="Tahoma"/>
            <family val="2"/>
          </rPr>
          <t>Monique Stagnitti:</t>
        </r>
        <r>
          <rPr>
            <sz val="9"/>
            <color indexed="81"/>
            <rFont val="Tahoma"/>
            <family val="2"/>
          </rPr>
          <t xml:space="preserve">
= 54.02. Participant scanned twice. Neurocog data only taken once, therefore neurocog data of 54.12=54.02. MRI scans to be used from the 54.12 data
</t>
        </r>
        <r>
          <rPr>
            <b/>
            <sz val="9"/>
            <color indexed="81"/>
            <rFont val="Tahoma"/>
            <family val="2"/>
          </rPr>
          <t>2015:</t>
        </r>
        <r>
          <rPr>
            <sz val="9"/>
            <color indexed="81"/>
            <rFont val="Tahoma"/>
            <family val="2"/>
          </rPr>
          <t xml:space="preserve">
T2 (last scan) flip angle 1 degree less (149) because of SAR</t>
        </r>
      </text>
    </comment>
    <comment ref="A16" authorId="0" shapeId="0" xr:uid="{00000000-0006-0000-0000-00000C000000}">
      <text>
        <r>
          <rPr>
            <b/>
            <sz val="9"/>
            <color indexed="81"/>
            <rFont val="Tahoma"/>
            <family val="2"/>
          </rPr>
          <t>Monique Stagnitti:</t>
        </r>
        <r>
          <rPr>
            <sz val="9"/>
            <color indexed="81"/>
            <rFont val="Tahoma"/>
            <family val="2"/>
          </rPr>
          <t xml:space="preserve">
Did not understand/remember instructions for self-paced task</t>
        </r>
      </text>
    </comment>
    <comment ref="A18" authorId="0" shapeId="0" xr:uid="{00000000-0006-0000-0000-00000D000000}">
      <text>
        <r>
          <rPr>
            <b/>
            <sz val="9"/>
            <color indexed="81"/>
            <rFont val="Tahoma"/>
            <family val="2"/>
          </rPr>
          <t>Monique Stagnitti:</t>
        </r>
        <r>
          <rPr>
            <sz val="9"/>
            <color indexed="81"/>
            <rFont val="Tahoma"/>
            <family val="2"/>
          </rPr>
          <t xml:space="preserve">
moved a lot. Had to go to toilet, so scanned stopped after half-way through. Resting state will be different space to task fmri. Performed above 75% on practice nback, but did badly in scanner. Responses suggest random button presses, question as to whether he was really doing the task?
</t>
        </r>
        <r>
          <rPr>
            <b/>
            <sz val="9"/>
            <color indexed="81"/>
            <rFont val="Tahoma"/>
            <family val="2"/>
          </rPr>
          <t>2015:
Was in pain and had to stop scan during b3000. Was also running late for appt. Went back in the scanner for T2 an b1200 (with new localiser), but didn't get b3000.
He had trouble with holding down the buttons during the beginning for CogBlock1, so answers may not be reflective of what he actually did.</t>
        </r>
      </text>
    </comment>
    <comment ref="A19" authorId="0" shapeId="0" xr:uid="{00000000-0006-0000-0000-00000E000000}">
      <text>
        <r>
          <rPr>
            <b/>
            <sz val="9"/>
            <color indexed="81"/>
            <rFont val="Tahoma"/>
            <family val="2"/>
          </rPr>
          <t>Monique Stagnitti:</t>
        </r>
        <r>
          <rPr>
            <sz val="9"/>
            <color indexed="81"/>
            <rFont val="Tahoma"/>
            <family val="2"/>
          </rPr>
          <t xml:space="preserve">
Not enough brain coverage in first Fingertapping scan, so it was repeated (use session 2 data). 
Filters were not on during first nback scan (Cognitive_1), so this was repeated also. Use Cogblock1-3 (session 3) file for data.</t>
        </r>
      </text>
    </comment>
    <comment ref="A20" authorId="0" shapeId="0" xr:uid="{00000000-0006-0000-0000-00000F000000}">
      <text>
        <r>
          <rPr>
            <b/>
            <sz val="9"/>
            <color indexed="81"/>
            <rFont val="Tahoma"/>
            <family val="2"/>
          </rPr>
          <t>Monique Stagnitti:</t>
        </r>
        <r>
          <rPr>
            <sz val="9"/>
            <color indexed="81"/>
            <rFont val="Tahoma"/>
            <family val="2"/>
          </rPr>
          <t xml:space="preserve">
Check glove data output - may not have worked. If not, use screen recording for behavioural analysis.
Disregard BDI score, have talked to clinican, who talked to patient and they are currently happy patient is not currently depressed.
</t>
        </r>
        <r>
          <rPr>
            <b/>
            <sz val="9"/>
            <color indexed="81"/>
            <rFont val="Tahoma"/>
            <family val="2"/>
          </rPr>
          <t>UPDATE: participant has been medicated for 10 years for MDD. Do not include in analysis</t>
        </r>
        <r>
          <rPr>
            <sz val="9"/>
            <color indexed="81"/>
            <rFont val="Tahoma"/>
            <family val="2"/>
          </rPr>
          <t xml:space="preserve">
</t>
        </r>
      </text>
    </comment>
    <comment ref="A22" authorId="0" shapeId="0" xr:uid="{00000000-0006-0000-0000-000010000000}">
      <text>
        <r>
          <rPr>
            <b/>
            <sz val="9"/>
            <color indexed="81"/>
            <rFont val="Tahoma"/>
            <family val="2"/>
          </rPr>
          <t>Monique Stagnitti:</t>
        </r>
        <r>
          <rPr>
            <sz val="9"/>
            <color indexed="81"/>
            <rFont val="Tahoma"/>
            <family val="2"/>
          </rPr>
          <t xml:space="preserve">
Ambidextrous - can't use data for group analysis?
</t>
        </r>
        <r>
          <rPr>
            <b/>
            <sz val="9"/>
            <color indexed="81"/>
            <rFont val="Tahoma"/>
            <family val="2"/>
          </rPr>
          <t xml:space="preserve">2015:
</t>
        </r>
        <r>
          <rPr>
            <sz val="9"/>
            <color indexed="81"/>
            <rFont val="Tahoma"/>
            <family val="2"/>
          </rPr>
          <t>was holding down buttons on button box while doing task, so responses not accurate for cog</t>
        </r>
      </text>
    </comment>
    <comment ref="A23" authorId="0" shapeId="0" xr:uid="{00000000-0006-0000-0000-000011000000}">
      <text>
        <r>
          <rPr>
            <b/>
            <sz val="9"/>
            <color indexed="81"/>
            <rFont val="Tahoma"/>
            <family val="2"/>
          </rPr>
          <t>Monique Stagnitti:</t>
        </r>
        <r>
          <rPr>
            <sz val="9"/>
            <color indexed="81"/>
            <rFont val="Tahoma"/>
            <family val="2"/>
          </rPr>
          <t xml:space="preserve">
check SWI data - might have swapped 54.21 and 54.22 data</t>
        </r>
      </text>
    </comment>
    <comment ref="A24" authorId="0" shapeId="0" xr:uid="{00000000-0006-0000-0000-000012000000}">
      <text>
        <r>
          <rPr>
            <b/>
            <sz val="9"/>
            <color indexed="81"/>
            <rFont val="Tahoma"/>
            <family val="2"/>
          </rPr>
          <t>Monique Stagnitti:</t>
        </r>
        <r>
          <rPr>
            <sz val="9"/>
            <color indexed="81"/>
            <rFont val="Tahoma"/>
            <family val="2"/>
          </rPr>
          <t xml:space="preserve">
check SWI data - might have swapped 54.21 and 54.22 data</t>
        </r>
      </text>
    </comment>
    <comment ref="A25" authorId="0" shapeId="0" xr:uid="{00000000-0006-0000-0000-000013000000}">
      <text>
        <r>
          <rPr>
            <b/>
            <sz val="9"/>
            <color indexed="81"/>
            <rFont val="Tahoma"/>
            <family val="2"/>
          </rPr>
          <t>Monique Stagnitti:</t>
        </r>
        <r>
          <rPr>
            <sz val="9"/>
            <color indexed="81"/>
            <rFont val="Tahoma"/>
            <family val="2"/>
          </rPr>
          <t xml:space="preserve">
did not understand self-paced task and tapped continually through
</t>
        </r>
      </text>
    </comment>
    <comment ref="A26" authorId="0" shapeId="0" xr:uid="{00000000-0006-0000-0000-000014000000}">
      <text>
        <r>
          <rPr>
            <b/>
            <sz val="9"/>
            <color indexed="81"/>
            <rFont val="Tahoma"/>
            <family val="2"/>
          </rPr>
          <t>Monique Stagnitti:</t>
        </r>
        <r>
          <rPr>
            <sz val="9"/>
            <color indexed="81"/>
            <rFont val="Tahoma"/>
            <family val="2"/>
          </rPr>
          <t xml:space="preserve">
First BDI scored 23. BDI repeated and scored 11 so data included in study. Had trouble getting the finger tapping task to trigger, had to restart 3 times</t>
        </r>
      </text>
    </comment>
    <comment ref="A28" authorId="0" shapeId="0" xr:uid="{00000000-0006-0000-0000-000015000000}">
      <text>
        <r>
          <rPr>
            <b/>
            <sz val="9"/>
            <color indexed="81"/>
            <rFont val="Tahoma"/>
            <family val="2"/>
          </rPr>
          <t>Monique Stagnitti:</t>
        </r>
        <r>
          <rPr>
            <sz val="9"/>
            <color indexed="81"/>
            <rFont val="Tahoma"/>
            <family val="2"/>
          </rPr>
          <t xml:space="preserve">
Depressed - cannot use data.</t>
        </r>
      </text>
    </comment>
    <comment ref="A29" authorId="0" shapeId="0" xr:uid="{00000000-0006-0000-0000-000016000000}">
      <text>
        <r>
          <rPr>
            <b/>
            <sz val="9"/>
            <color indexed="81"/>
            <rFont val="Tahoma"/>
            <family val="2"/>
          </rPr>
          <t>Monique Stagnitti:</t>
        </r>
        <r>
          <rPr>
            <sz val="9"/>
            <color indexed="81"/>
            <rFont val="Tahoma"/>
            <family val="2"/>
          </rPr>
          <t xml:space="preserve">
Was holding buttons down during cog1, so task restarted. Continued to hold buttons down for beginning of restarted cog1, however by end released and was responding properly. Discount cog1 behavioural data?
</t>
        </r>
        <r>
          <rPr>
            <b/>
            <sz val="9"/>
            <color indexed="81"/>
            <rFont val="Tahoma"/>
            <family val="2"/>
          </rPr>
          <t xml:space="preserve">*UNSURE of finger tapping mark up. Very difficult to interpret. Tremor? Did not understand task and continually tapped? General difficulty in physically doing the task?
2016:
</t>
        </r>
        <r>
          <rPr>
            <sz val="9"/>
            <color indexed="81"/>
            <rFont val="Tahoma"/>
            <family val="2"/>
          </rPr>
          <t>Button box hardware failure? button responses not recorded despite everything else working (i.e trigger etc). Presses did not light up lumina and were not recorded. Scan order changed to accommodate trying to fix this problem</t>
        </r>
      </text>
    </comment>
    <comment ref="A30" authorId="0" shapeId="0" xr:uid="{00000000-0006-0000-0000-000017000000}">
      <text>
        <r>
          <rPr>
            <b/>
            <sz val="9"/>
            <color indexed="81"/>
            <rFont val="Tahoma"/>
            <family val="2"/>
          </rPr>
          <t>Monique Stagnitti:</t>
        </r>
        <r>
          <rPr>
            <sz val="9"/>
            <color indexed="81"/>
            <rFont val="Tahoma"/>
            <family val="2"/>
          </rPr>
          <t xml:space="preserve">
Strongly left handed. Do not use data.
</t>
        </r>
        <r>
          <rPr>
            <b/>
            <sz val="9"/>
            <color indexed="81"/>
            <rFont val="Tahoma"/>
            <family val="2"/>
          </rPr>
          <t>2016:</t>
        </r>
        <r>
          <rPr>
            <sz val="9"/>
            <color indexed="81"/>
            <rFont val="Tahoma"/>
            <family val="2"/>
          </rPr>
          <t xml:space="preserve">
Ian's notes during scanning - motion spike in resting state. Redo MT #2 due to motion. Redo SWI due to motion. </t>
        </r>
      </text>
    </comment>
    <comment ref="A31" authorId="0" shapeId="0" xr:uid="{00000000-0006-0000-0000-000018000000}">
      <text>
        <r>
          <rPr>
            <b/>
            <sz val="9"/>
            <color indexed="81"/>
            <rFont val="Tahoma"/>
            <family val="2"/>
          </rPr>
          <t>Monique Stagnitti:</t>
        </r>
        <r>
          <rPr>
            <sz val="9"/>
            <color indexed="81"/>
            <rFont val="Tahoma"/>
            <family val="2"/>
          </rPr>
          <t xml:space="preserve">
BDI original score = 23. BDI repeated and score now 4. Include data
</t>
        </r>
      </text>
    </comment>
    <comment ref="A32" authorId="0" shapeId="0" xr:uid="{00000000-0006-0000-0000-000019000000}">
      <text>
        <r>
          <rPr>
            <b/>
            <sz val="9"/>
            <color indexed="81"/>
            <rFont val="Tahoma"/>
            <family val="2"/>
          </rPr>
          <t>Monique Stagnitti:</t>
        </r>
        <r>
          <rPr>
            <sz val="9"/>
            <color indexed="81"/>
            <rFont val="Tahoma"/>
            <family val="2"/>
          </rPr>
          <t xml:space="preserve">
Participant distressed when removed from scanner after scan finished. Developed a headache toward the end of the scan, and dropped the 'call button' so could not alert of distress whilst the scanner was going.
Due to time constraints, the scans we rearragned in order of importance, and the resting state was dropped. Cog1 was restarted as she dropped the button box during the task. </t>
        </r>
        <r>
          <rPr>
            <b/>
            <sz val="9"/>
            <color indexed="81"/>
            <rFont val="Tahoma"/>
            <family val="2"/>
          </rPr>
          <t xml:space="preserve">
*unsure of finger tapping mark-up</t>
        </r>
      </text>
    </comment>
    <comment ref="A35" authorId="0" shapeId="0" xr:uid="{00000000-0006-0000-0000-00001A000000}">
      <text>
        <r>
          <rPr>
            <b/>
            <sz val="9"/>
            <color indexed="81"/>
            <rFont val="Tahoma"/>
            <family val="2"/>
          </rPr>
          <t>Monique Stagnitti:</t>
        </r>
        <r>
          <rPr>
            <sz val="9"/>
            <color indexed="81"/>
            <rFont val="Tahoma"/>
            <family val="2"/>
          </rPr>
          <t xml:space="preserve">
2016:
scan had to be cut short as ran out of time. Button box might has also failed - hardware. Thought participant might have been holding down button, but the box then failed to work. Therefore no responses for Cog tasks</t>
        </r>
      </text>
    </comment>
    <comment ref="A39" authorId="0" shapeId="0" xr:uid="{00000000-0006-0000-0000-00001B000000}">
      <text>
        <r>
          <rPr>
            <b/>
            <sz val="9"/>
            <color indexed="81"/>
            <rFont val="Tahoma"/>
            <family val="2"/>
          </rPr>
          <t>Monique Stagnitti:</t>
        </r>
        <r>
          <rPr>
            <sz val="9"/>
            <color indexed="81"/>
            <rFont val="Tahoma"/>
            <family val="2"/>
          </rPr>
          <t xml:space="preserve">
Could not get piercing out in right ear, so may be slight artifact on right side from stud. 
Brain extraction for T1 still has nasal cavity at 0.5. Start to lose brain at 0.6 though. </t>
        </r>
      </text>
    </comment>
    <comment ref="A40" authorId="0" shapeId="0" xr:uid="{00000000-0006-0000-0000-00001C000000}">
      <text>
        <r>
          <rPr>
            <b/>
            <sz val="9"/>
            <color indexed="81"/>
            <rFont val="Tahoma"/>
            <family val="2"/>
          </rPr>
          <t>Monique Stagnitti:</t>
        </r>
        <r>
          <rPr>
            <sz val="9"/>
            <color indexed="81"/>
            <rFont val="Tahoma"/>
            <family val="2"/>
          </rPr>
          <t xml:space="preserve">
SARL level too high for scan t2_fl2d_tra_MT-IPat2, therefore TR was changed from 734 to 744</t>
        </r>
      </text>
    </comment>
    <comment ref="A53" authorId="0" shapeId="0" xr:uid="{00000000-0006-0000-0000-00001D000000}">
      <text>
        <r>
          <rPr>
            <b/>
            <sz val="9"/>
            <color indexed="81"/>
            <rFont val="Tahoma"/>
            <family val="2"/>
          </rPr>
          <t>Monique Stagnitti:</t>
        </r>
        <r>
          <rPr>
            <sz val="9"/>
            <color indexed="81"/>
            <rFont val="Tahoma"/>
            <family val="2"/>
          </rPr>
          <t xml:space="preserve">
</t>
        </r>
        <r>
          <rPr>
            <b/>
            <sz val="9"/>
            <color indexed="81"/>
            <rFont val="Tahoma"/>
            <family val="2"/>
          </rPr>
          <t xml:space="preserve">2015:
</t>
        </r>
        <r>
          <rPr>
            <sz val="9"/>
            <color indexed="81"/>
            <rFont val="Tahoma"/>
            <family val="2"/>
          </rPr>
          <t xml:space="preserve">computer was doing something funny when recoding finger tapping responses - check if data is ok.
</t>
        </r>
        <r>
          <rPr>
            <b/>
            <sz val="9"/>
            <color indexed="81"/>
            <rFont val="Tahoma"/>
            <family val="2"/>
          </rPr>
          <t xml:space="preserve">2013: </t>
        </r>
        <r>
          <rPr>
            <sz val="9"/>
            <color indexed="81"/>
            <rFont val="Tahoma"/>
            <family val="2"/>
          </rPr>
          <t>MRI trigger did not work, so all (finger and cog) tasks triggered manually. Therefore ms-sec delay on task start. no data for nback task, as MRI trigger and responses did not come through to be recorded.</t>
        </r>
      </text>
    </comment>
    <comment ref="A54" authorId="0" shapeId="0" xr:uid="{00000000-0006-0000-0000-00001E000000}">
      <text>
        <r>
          <rPr>
            <b/>
            <sz val="9"/>
            <color indexed="81"/>
            <rFont val="Tahoma"/>
            <family val="2"/>
          </rPr>
          <t>Monique Stagnitti:</t>
        </r>
        <r>
          <rPr>
            <sz val="9"/>
            <color indexed="81"/>
            <rFont val="Tahoma"/>
            <family val="2"/>
          </rPr>
          <t xml:space="preserve">
Had trouble with the stimPC. Couldn't run the tasks straight away. All the scans are in a different order. During cogblock1 (run 2) buttong was swtiched from stimPC to external computer - therefore did not record responses. Had to run again - use cogblock1_3.</t>
        </r>
      </text>
    </comment>
    <comment ref="A57" authorId="0" shapeId="0" xr:uid="{00000000-0006-0000-0000-00001F000000}">
      <text>
        <r>
          <rPr>
            <b/>
            <sz val="9"/>
            <color indexed="81"/>
            <rFont val="Tahoma"/>
            <family val="2"/>
          </rPr>
          <t>Monique Stagnitti:</t>
        </r>
        <r>
          <rPr>
            <sz val="9"/>
            <color indexed="81"/>
            <rFont val="Tahoma"/>
            <family val="2"/>
          </rPr>
          <t xml:space="preserve">
</t>
        </r>
        <r>
          <rPr>
            <b/>
            <sz val="9"/>
            <color indexed="81"/>
            <rFont val="Tahoma"/>
            <family val="2"/>
          </rPr>
          <t>2015:</t>
        </r>
        <r>
          <rPr>
            <sz val="9"/>
            <color indexed="81"/>
            <rFont val="Tahoma"/>
            <family val="2"/>
          </rPr>
          <t xml:space="preserve">
Very claustrophobic, only made it through T1 and motor task before needing to get out. Did not get any data after that</t>
        </r>
      </text>
    </comment>
    <comment ref="A58" authorId="0" shapeId="0" xr:uid="{00000000-0006-0000-0000-000020000000}">
      <text>
        <r>
          <rPr>
            <b/>
            <sz val="9"/>
            <color indexed="81"/>
            <rFont val="Tahoma"/>
            <family val="2"/>
          </rPr>
          <t>Monique Stagnitti:</t>
        </r>
        <r>
          <rPr>
            <sz val="9"/>
            <color indexed="81"/>
            <rFont val="Tahoma"/>
            <family val="2"/>
          </rPr>
          <t xml:space="preserve">
Problems with conversion from dicom to nifti in functional runs.</t>
        </r>
      </text>
    </comment>
    <comment ref="A60" authorId="0" shapeId="0" xr:uid="{00000000-0006-0000-0000-000021000000}">
      <text>
        <r>
          <rPr>
            <b/>
            <sz val="9"/>
            <color indexed="81"/>
            <rFont val="Tahoma"/>
            <family val="2"/>
          </rPr>
          <t>Monique Stagnitti:</t>
        </r>
        <r>
          <rPr>
            <sz val="9"/>
            <color indexed="81"/>
            <rFont val="Tahoma"/>
            <family val="2"/>
          </rPr>
          <t xml:space="preserve">
wears glasses, did not have them on for first finger tap. Put them on, and ran the finger tap again. Use second session data</t>
        </r>
      </text>
    </comment>
    <comment ref="A62" authorId="0" shapeId="0" xr:uid="{00000000-0006-0000-0000-000022000000}">
      <text>
        <r>
          <rPr>
            <b/>
            <sz val="9"/>
            <color indexed="81"/>
            <rFont val="Tahoma"/>
            <family val="2"/>
          </rPr>
          <t>Monique Stagnitti:</t>
        </r>
        <r>
          <rPr>
            <sz val="9"/>
            <color indexed="81"/>
            <rFont val="Tahoma"/>
            <family val="2"/>
          </rPr>
          <t xml:space="preserve">
</t>
        </r>
        <r>
          <rPr>
            <b/>
            <sz val="9"/>
            <color indexed="81"/>
            <rFont val="Tahoma"/>
            <family val="2"/>
          </rPr>
          <t>2016:</t>
        </r>
        <r>
          <rPr>
            <sz val="9"/>
            <color indexed="81"/>
            <rFont val="Tahoma"/>
            <family val="2"/>
          </rPr>
          <t xml:space="preserve">
Participant kept tapping throughout self-paced. Did not stop in rest breaks, therefore self-paced data invalid
</t>
        </r>
      </text>
    </comment>
    <comment ref="A63" authorId="0" shapeId="0" xr:uid="{00000000-0006-0000-0000-000023000000}">
      <text>
        <r>
          <rPr>
            <b/>
            <sz val="9"/>
            <color indexed="81"/>
            <rFont val="Tahoma"/>
            <family val="2"/>
          </rPr>
          <t>Monique Stagnitti:</t>
        </r>
        <r>
          <rPr>
            <sz val="9"/>
            <color indexed="81"/>
            <rFont val="Tahoma"/>
            <family val="2"/>
          </rPr>
          <t xml:space="preserve">
Cogblock 2 file failed when run. Had to restart MRI comp, and then upload a cogblock2 file which was transferred from laptop. Then pressed trigger button just before scan started, so task was triggered seconds before scanner started. New cogblock 2 file now on MRI comp and used for tasks.
Patient file (54.13) pushed onto Daris under this file. Data put in the correct Daris number and deleted from 58.15. However, this scans are now under study 2, instead of study 1. this means daris numbers are 1008.2.58.15.1.2 instead of 1008.2.58.15.1.1. Keep in mind when using scripts to analyse data </t>
        </r>
      </text>
    </comment>
    <comment ref="A66" authorId="0" shapeId="0" xr:uid="{00000000-0006-0000-0000-000024000000}">
      <text>
        <r>
          <rPr>
            <b/>
            <sz val="9"/>
            <color indexed="81"/>
            <rFont val="Tahoma"/>
            <family val="2"/>
          </rPr>
          <t>Monique Stagnitti:</t>
        </r>
        <r>
          <rPr>
            <sz val="9"/>
            <color indexed="81"/>
            <rFont val="Tahoma"/>
            <family val="2"/>
          </rPr>
          <t xml:space="preserve">
English not first language - Discount NART and Haylings.
fMRI data on extreme angle - may be a problem with normalisation
</t>
        </r>
      </text>
    </comment>
    <comment ref="A68" authorId="0" shapeId="0" xr:uid="{00000000-0006-0000-0000-000025000000}">
      <text>
        <r>
          <rPr>
            <b/>
            <sz val="9"/>
            <color indexed="81"/>
            <rFont val="Tahoma"/>
            <family val="2"/>
          </rPr>
          <t>Monique Stagnitti:</t>
        </r>
        <r>
          <rPr>
            <sz val="9"/>
            <color indexed="81"/>
            <rFont val="Tahoma"/>
            <family val="2"/>
          </rPr>
          <t xml:space="preserve">
Problems with head coil. Check scans, some might have been affected</t>
        </r>
      </text>
    </comment>
    <comment ref="A73" authorId="0" shapeId="0" xr:uid="{00000000-0006-0000-0000-000026000000}">
      <text>
        <r>
          <rPr>
            <b/>
            <sz val="9"/>
            <color indexed="81"/>
            <rFont val="Tahoma"/>
            <family val="2"/>
          </rPr>
          <t>Monique Stagnitti:</t>
        </r>
        <r>
          <rPr>
            <sz val="9"/>
            <color indexed="81"/>
            <rFont val="Tahoma"/>
            <family val="2"/>
          </rPr>
          <t xml:space="preserve">
Depressed - scored highly on BDI. Participant had marriage/life troubles, however was not diagnosed with a depressive disorder, and was not seeing a professional. (Therefore include data in analysis). 
Something funny with the Dicom files - check whats going on</t>
        </r>
      </text>
    </comment>
    <comment ref="A74" authorId="0" shapeId="0" xr:uid="{00000000-0006-0000-0000-000027000000}">
      <text>
        <r>
          <rPr>
            <b/>
            <sz val="9"/>
            <color indexed="81"/>
            <rFont val="Tahoma"/>
            <family val="2"/>
          </rPr>
          <t>Monique Stagnitti:</t>
        </r>
        <r>
          <rPr>
            <sz val="9"/>
            <color indexed="81"/>
            <rFont val="Tahoma"/>
            <family val="2"/>
          </rPr>
          <t xml:space="preserve">
Had troubles with the stimulus PC, so ran the T1 first to save time while the computer issues were sorted.</t>
        </r>
      </text>
    </comment>
    <comment ref="A77" authorId="0" shapeId="0" xr:uid="{00000000-0006-0000-0000-000028000000}">
      <text>
        <r>
          <rPr>
            <b/>
            <sz val="9"/>
            <color indexed="81"/>
            <rFont val="Tahoma"/>
            <family val="2"/>
          </rPr>
          <t>Monique Stagnitti:</t>
        </r>
        <r>
          <rPr>
            <sz val="9"/>
            <color indexed="81"/>
            <rFont val="Tahoma"/>
            <family val="2"/>
          </rPr>
          <t xml:space="preserve">
English as second languge - disregard NART.
Was not doing finger-tapping SP task properly, so scan was restarted. Use 2nd finger-tapping scan in analysis</t>
        </r>
      </text>
    </comment>
    <comment ref="A83" authorId="0" shapeId="0" xr:uid="{00000000-0006-0000-0000-000029000000}">
      <text>
        <r>
          <rPr>
            <b/>
            <sz val="9"/>
            <color indexed="81"/>
            <rFont val="Tahoma"/>
            <family val="2"/>
          </rPr>
          <t>Monique Stagnitti:</t>
        </r>
        <r>
          <rPr>
            <sz val="9"/>
            <color indexed="81"/>
            <rFont val="Tahoma"/>
            <family val="2"/>
          </rPr>
          <t xml:space="preserve">
Discount working memory data - was not doing task. Lost concentration, drowsy.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Monique Stagnitti</author>
  </authors>
  <commentList>
    <comment ref="A8" authorId="0" shapeId="0" xr:uid="{00000000-0006-0000-0100-000001000000}">
      <text>
        <r>
          <rPr>
            <b/>
            <sz val="9"/>
            <color indexed="81"/>
            <rFont val="Tahoma"/>
            <family val="2"/>
          </rPr>
          <t>Monique Stagnitti:</t>
        </r>
        <r>
          <rPr>
            <sz val="9"/>
            <color indexed="81"/>
            <rFont val="Tahoma"/>
            <family val="2"/>
          </rPr>
          <t xml:space="preserve">
BDI noted with case manager. Extenuating circumstances that week increased score. Still use neurocog and MRI data</t>
        </r>
      </text>
    </comment>
    <comment ref="A9" authorId="0" shapeId="0" xr:uid="{00000000-0006-0000-0100-000002000000}">
      <text>
        <r>
          <rPr>
            <b/>
            <sz val="9"/>
            <color indexed="81"/>
            <rFont val="Tahoma"/>
            <family val="2"/>
          </rPr>
          <t>Monique Stagnitti:</t>
        </r>
        <r>
          <rPr>
            <sz val="9"/>
            <color indexed="81"/>
            <rFont val="Tahoma"/>
            <family val="2"/>
          </rPr>
          <t xml:space="preserve">
english as second language. Disregard, NART, Haylings and BDI. Bdi score noted with case manager. Very distressed on day by difficulty level of tests.
</t>
        </r>
      </text>
    </comment>
    <comment ref="A10" authorId="0" shapeId="0" xr:uid="{00000000-0006-0000-0100-000003000000}">
      <text>
        <r>
          <rPr>
            <b/>
            <sz val="9"/>
            <color indexed="81"/>
            <rFont val="Tahoma"/>
            <family val="2"/>
          </rPr>
          <t>Monique Stagnitti:</t>
        </r>
        <r>
          <rPr>
            <sz val="9"/>
            <color indexed="81"/>
            <rFont val="Tahoma"/>
            <family val="2"/>
          </rPr>
          <t xml:space="preserve">
Clinical depressive disorder. Use data in MRI analysis? BDI score known to treating clinicians</t>
        </r>
      </text>
    </comment>
    <comment ref="A13" authorId="0" shapeId="0" xr:uid="{00000000-0006-0000-0100-000004000000}">
      <text>
        <r>
          <rPr>
            <b/>
            <sz val="9"/>
            <color indexed="81"/>
            <rFont val="Tahoma"/>
            <family val="2"/>
          </rPr>
          <t>Monique Stagnitti:</t>
        </r>
        <r>
          <rPr>
            <sz val="9"/>
            <color indexed="81"/>
            <rFont val="Tahoma"/>
            <family val="2"/>
          </rPr>
          <t xml:space="preserve">
english as second language, use NART?</t>
        </r>
      </text>
    </comment>
    <comment ref="A27" authorId="0" shapeId="0" xr:uid="{00000000-0006-0000-0100-000005000000}">
      <text>
        <r>
          <rPr>
            <b/>
            <sz val="9"/>
            <color indexed="81"/>
            <rFont val="Tahoma"/>
            <family val="2"/>
          </rPr>
          <t>Monique Stagnitti:</t>
        </r>
        <r>
          <rPr>
            <sz val="9"/>
            <color indexed="81"/>
            <rFont val="Tahoma"/>
            <family val="2"/>
          </rPr>
          <t xml:space="preserve">
exclude data - depressed
BDI retested and scored 11. use data
</t>
        </r>
      </text>
    </comment>
    <comment ref="A29" authorId="0" shapeId="0" xr:uid="{00000000-0006-0000-0100-000006000000}">
      <text>
        <r>
          <rPr>
            <b/>
            <sz val="9"/>
            <color indexed="81"/>
            <rFont val="Tahoma"/>
            <family val="2"/>
          </rPr>
          <t>Monique Stagnitti:</t>
        </r>
        <r>
          <rPr>
            <sz val="9"/>
            <color indexed="81"/>
            <rFont val="Tahoma"/>
            <family val="2"/>
          </rPr>
          <t xml:space="preserve">
Depressed - can not use data
</t>
        </r>
      </text>
    </comment>
    <comment ref="A31" authorId="0" shapeId="0" xr:uid="{00000000-0006-0000-0100-000007000000}">
      <text>
        <r>
          <rPr>
            <b/>
            <sz val="9"/>
            <color indexed="81"/>
            <rFont val="Tahoma"/>
            <family val="2"/>
          </rPr>
          <t>Monique Stagnitti:</t>
        </r>
        <r>
          <rPr>
            <sz val="9"/>
            <color indexed="81"/>
            <rFont val="Tahoma"/>
            <family val="2"/>
          </rPr>
          <t xml:space="preserve">
Strongly left handed, do not use data
</t>
        </r>
      </text>
    </comment>
    <comment ref="A59" authorId="0" shapeId="0" xr:uid="{00000000-0006-0000-0100-000008000000}">
      <text>
        <r>
          <rPr>
            <b/>
            <sz val="9"/>
            <color indexed="81"/>
            <rFont val="Tahoma"/>
            <family val="2"/>
          </rPr>
          <t>Monique Stagnitti:</t>
        </r>
        <r>
          <rPr>
            <sz val="9"/>
            <color indexed="81"/>
            <rFont val="Tahoma"/>
            <family val="2"/>
          </rPr>
          <t xml:space="preserve">
English as second language</t>
        </r>
      </text>
    </comment>
    <comment ref="A67" authorId="0" shapeId="0" xr:uid="{00000000-0006-0000-0100-000009000000}">
      <text>
        <r>
          <rPr>
            <b/>
            <sz val="9"/>
            <color indexed="81"/>
            <rFont val="Tahoma"/>
            <family val="2"/>
          </rPr>
          <t>Monique Stagnitti:</t>
        </r>
        <r>
          <rPr>
            <sz val="9"/>
            <color indexed="81"/>
            <rFont val="Tahoma"/>
            <family val="2"/>
          </rPr>
          <t xml:space="preserve">
English not first language - discount NART and Haylings
</t>
        </r>
      </text>
    </comment>
    <comment ref="A69" authorId="0" shapeId="0" xr:uid="{00000000-0006-0000-0100-00000A000000}">
      <text>
        <r>
          <rPr>
            <b/>
            <sz val="9"/>
            <color indexed="81"/>
            <rFont val="Tahoma"/>
            <family val="2"/>
          </rPr>
          <t>Monique Stagnitti:</t>
        </r>
        <r>
          <rPr>
            <sz val="9"/>
            <color indexed="81"/>
            <rFont val="Tahoma"/>
            <family val="2"/>
          </rPr>
          <t xml:space="preserve">
had broken right arm multiple times so competent in using left hand, and now uses both. Dominant right hander though, before breaks.</t>
        </r>
      </text>
    </comment>
    <comment ref="A74" authorId="0" shapeId="0" xr:uid="{00000000-0006-0000-0100-00000B000000}">
      <text>
        <r>
          <rPr>
            <b/>
            <sz val="9"/>
            <color indexed="81"/>
            <rFont val="Tahoma"/>
            <family val="2"/>
          </rPr>
          <t>Monique Stagnitti:</t>
        </r>
        <r>
          <rPr>
            <sz val="9"/>
            <color indexed="81"/>
            <rFont val="Tahoma"/>
            <family val="2"/>
          </rPr>
          <t xml:space="preserve">
Depressed - cannot use data
</t>
        </r>
      </text>
    </comment>
    <comment ref="A78" authorId="0" shapeId="0" xr:uid="{00000000-0006-0000-0100-00000C000000}">
      <text>
        <r>
          <rPr>
            <b/>
            <sz val="9"/>
            <color indexed="81"/>
            <rFont val="Tahoma"/>
            <family val="2"/>
          </rPr>
          <t>Monique Stagnitti:</t>
        </r>
        <r>
          <rPr>
            <sz val="9"/>
            <color indexed="81"/>
            <rFont val="Tahoma"/>
            <family val="2"/>
          </rPr>
          <t xml:space="preserve">
English as second language - do not use NART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Monique Stagnitti</author>
  </authors>
  <commentList>
    <comment ref="A53" authorId="0" shapeId="0" xr:uid="{00000000-0006-0000-0500-000001000000}">
      <text>
        <r>
          <rPr>
            <b/>
            <sz val="9"/>
            <color indexed="81"/>
            <rFont val="Tahoma"/>
            <family val="2"/>
          </rPr>
          <t>Monique Stagnitti:</t>
        </r>
        <r>
          <rPr>
            <sz val="9"/>
            <color indexed="81"/>
            <rFont val="Tahoma"/>
            <family val="2"/>
          </rPr>
          <t xml:space="preserve">
no behavioural data for nback run as no input from response box
</t>
        </r>
      </text>
    </comment>
  </commentList>
</comments>
</file>

<file path=xl/sharedStrings.xml><?xml version="1.0" encoding="utf-8"?>
<sst xmlns="http://schemas.openxmlformats.org/spreadsheetml/2006/main" count="3599" uniqueCount="843">
  <si>
    <t>Participant</t>
  </si>
  <si>
    <t>Test Scores:</t>
  </si>
  <si>
    <t>BDI</t>
  </si>
  <si>
    <t>Digit Span</t>
  </si>
  <si>
    <t>NART</t>
  </si>
  <si>
    <t>Haylings</t>
  </si>
  <si>
    <t>Stroop</t>
  </si>
  <si>
    <t>T-score (word)</t>
  </si>
  <si>
    <t>T-score (colour)</t>
  </si>
  <si>
    <t>T-score (colour-word)</t>
  </si>
  <si>
    <t>T-score (interference)</t>
  </si>
  <si>
    <t>Patient</t>
  </si>
  <si>
    <t>2:28:72</t>
  </si>
  <si>
    <t>24:80</t>
  </si>
  <si>
    <t>56:10</t>
  </si>
  <si>
    <t>Trail A (min:sec:ms)</t>
  </si>
  <si>
    <t>Trail B (min:sec:ms)</t>
  </si>
  <si>
    <t>5:16:25</t>
  </si>
  <si>
    <t>1:08:78</t>
  </si>
  <si>
    <t>1:02:38</t>
  </si>
  <si>
    <t>1:37:00</t>
  </si>
  <si>
    <t>1:17:00</t>
  </si>
  <si>
    <t>Block 1</t>
  </si>
  <si>
    <t>Block 2</t>
  </si>
  <si>
    <t>Block 3</t>
  </si>
  <si>
    <t>Block 4</t>
  </si>
  <si>
    <t>Correct</t>
  </si>
  <si>
    <t>Incorrect</t>
  </si>
  <si>
    <t>Missed trials</t>
  </si>
  <si>
    <t>Summary of Multi-Finger (Accuracy)</t>
  </si>
  <si>
    <t>Summary of self-paced (Frequency in taps per block)</t>
  </si>
  <si>
    <t>% CORRECT</t>
  </si>
  <si>
    <t>FREQUENCY (Hz)</t>
  </si>
  <si>
    <t>Accuracy %</t>
  </si>
  <si>
    <t>Do not use data as scan data unusable</t>
  </si>
  <si>
    <t>Patients</t>
  </si>
  <si>
    <t>Controls</t>
  </si>
  <si>
    <t>PATIENTS</t>
  </si>
  <si>
    <t>CONTROLS</t>
  </si>
  <si>
    <t>Quite distressed when completing the NART - would have had an effect on performance</t>
  </si>
  <si>
    <t>Total Taps</t>
  </si>
  <si>
    <t>Use data despite BDI &gt; 20. Extenuating cirumstances the week of testing increased anxiety.</t>
  </si>
  <si>
    <t>54.01</t>
  </si>
  <si>
    <t>54.02</t>
  </si>
  <si>
    <t>54.03</t>
  </si>
  <si>
    <t>54.04</t>
  </si>
  <si>
    <t>54.05</t>
  </si>
  <si>
    <t>Pilot (control)</t>
  </si>
  <si>
    <t>Group1</t>
  </si>
  <si>
    <t>Gender1</t>
  </si>
  <si>
    <t>DOB1</t>
  </si>
  <si>
    <t>Scan_Date1</t>
  </si>
  <si>
    <t>Age1</t>
  </si>
  <si>
    <t>CLINICAL DATA1</t>
  </si>
  <si>
    <t>NEUROCOG DATA</t>
  </si>
  <si>
    <t>TOTAL</t>
  </si>
  <si>
    <t>%TOTAL ERROR</t>
  </si>
  <si>
    <t>Commission Error</t>
  </si>
  <si>
    <t>Omission Error</t>
  </si>
  <si>
    <t>%Commission Error</t>
  </si>
  <si>
    <t>%Omission error</t>
  </si>
  <si>
    <t>Avg RT Commission Error (sec)</t>
  </si>
  <si>
    <t>Avg RT correct responses (sec)</t>
  </si>
  <si>
    <t>No. Correct</t>
  </si>
  <si>
    <t>No. Commission Error</t>
  </si>
  <si>
    <t>No. Omission Error</t>
  </si>
  <si>
    <t>Order of Blocks</t>
  </si>
  <si>
    <t>2/1</t>
  </si>
  <si>
    <t>1/2</t>
  </si>
  <si>
    <t>Total error</t>
  </si>
  <si>
    <t>Avg Total (100% Accuracy = 84 correct)</t>
  </si>
  <si>
    <t>Zero-Back</t>
  </si>
  <si>
    <t xml:space="preserve">Two-Back </t>
  </si>
  <si>
    <t>DataID #</t>
  </si>
  <si>
    <t>SalivaID</t>
  </si>
  <si>
    <t>BDI1</t>
  </si>
  <si>
    <t>NART1</t>
  </si>
  <si>
    <t>TRAILA1</t>
  </si>
  <si>
    <t>TRAILB1</t>
  </si>
  <si>
    <t>HAYLINGS1</t>
  </si>
  <si>
    <t>STROOP1</t>
  </si>
  <si>
    <t>MF_CORRECT1</t>
  </si>
  <si>
    <t>MF_COMM_ERROR1</t>
  </si>
  <si>
    <t>MF_OM_ERROR1</t>
  </si>
  <si>
    <t>MF_TOTAL_ERROR1</t>
  </si>
  <si>
    <t>SP_TOTAL_TAPS1</t>
  </si>
  <si>
    <t>SP_FREQ(Hz)1</t>
  </si>
  <si>
    <t>PARTICIPANT</t>
  </si>
  <si>
    <t>TASK</t>
  </si>
  <si>
    <t>RUN 1</t>
  </si>
  <si>
    <t>RUN 2</t>
  </si>
  <si>
    <t>001</t>
  </si>
  <si>
    <t>MOTOR</t>
  </si>
  <si>
    <t>block 2</t>
  </si>
  <si>
    <t>block 1</t>
  </si>
  <si>
    <t>pilot</t>
  </si>
  <si>
    <t>NBACK</t>
  </si>
  <si>
    <t>54.06</t>
  </si>
  <si>
    <t>58.01</t>
  </si>
  <si>
    <t>54.07</t>
  </si>
  <si>
    <t>58.02</t>
  </si>
  <si>
    <t>MF</t>
  </si>
  <si>
    <t>SP</t>
  </si>
  <si>
    <t>MF = multi-finger</t>
  </si>
  <si>
    <t>SP = self-paced</t>
  </si>
  <si>
    <t>Block 1 = 0back, 2back, 0back…</t>
  </si>
  <si>
    <t>Block 2 = 2back, 0back, 2back…</t>
  </si>
  <si>
    <t>58.03</t>
  </si>
  <si>
    <t>54.08</t>
  </si>
  <si>
    <t>54.09</t>
  </si>
  <si>
    <t>54.10</t>
  </si>
  <si>
    <t>54.11</t>
  </si>
  <si>
    <t>54.12</t>
  </si>
  <si>
    <t>54.13</t>
  </si>
  <si>
    <t>54.14</t>
  </si>
  <si>
    <t>54.15</t>
  </si>
  <si>
    <t>54.16</t>
  </si>
  <si>
    <t>54.17</t>
  </si>
  <si>
    <t>Run 1 (100% Accuracy = 42 correct)</t>
  </si>
  <si>
    <t>Run 2</t>
  </si>
  <si>
    <t>Block order</t>
  </si>
  <si>
    <t>0BR1%Corr1</t>
  </si>
  <si>
    <t>0BR1RT1</t>
  </si>
  <si>
    <t>2BR1RT1</t>
  </si>
  <si>
    <t>0BR2%Corr1</t>
  </si>
  <si>
    <t>0BR2RT1</t>
  </si>
  <si>
    <t>2BR2RT1</t>
  </si>
  <si>
    <t>0BAvg%Corr1</t>
  </si>
  <si>
    <t>0BAvgRT1</t>
  </si>
  <si>
    <t>2BAvgRT1</t>
  </si>
  <si>
    <t>MRI</t>
  </si>
  <si>
    <t>MOTOR DATA - multi-finger</t>
  </si>
  <si>
    <t>MOTOR DATA - self-paced</t>
  </si>
  <si>
    <t>Order of runs</t>
  </si>
  <si>
    <t>SP/MF</t>
  </si>
  <si>
    <t>Run 1</t>
  </si>
  <si>
    <t>Run2</t>
  </si>
  <si>
    <t>Avg total</t>
  </si>
  <si>
    <t>no sample - MRI data unusable</t>
  </si>
  <si>
    <t>1=M,2=F</t>
  </si>
  <si>
    <t>DigitSpan1</t>
  </si>
  <si>
    <t>%Correct</t>
  </si>
  <si>
    <t>Reaction Time (ms)</t>
  </si>
  <si>
    <t>MF/SP</t>
  </si>
  <si>
    <t>0:59:88</t>
  </si>
  <si>
    <t>2:36:87</t>
  </si>
  <si>
    <t xml:space="preserve">English as second language. Disregard NART, Haylings and BDI scores. </t>
  </si>
  <si>
    <t>control</t>
  </si>
  <si>
    <t>0:20:58</t>
  </si>
  <si>
    <t>1:11:56</t>
  </si>
  <si>
    <t>FRDA54.04P (Sib of 54.03)</t>
  </si>
  <si>
    <t>FRDA54.03P (sib of 54.04)</t>
  </si>
  <si>
    <t>FRDA54.05P</t>
  </si>
  <si>
    <t>FRDA54.06P</t>
  </si>
  <si>
    <t>FRDA58.01C</t>
  </si>
  <si>
    <t>1:00:66</t>
  </si>
  <si>
    <t>0:45:28</t>
  </si>
  <si>
    <t>Clinical depressive disorder. Use MRI data in group analysis?</t>
  </si>
  <si>
    <t>FRDA54.07P</t>
  </si>
  <si>
    <t>0:22:31</t>
  </si>
  <si>
    <t>0:44:47</t>
  </si>
  <si>
    <t>FRDA58.02C</t>
  </si>
  <si>
    <t>0:31:00</t>
  </si>
  <si>
    <t>0:49:40</t>
  </si>
  <si>
    <t>FRDA58.03C</t>
  </si>
  <si>
    <t>MF_%Correct1</t>
  </si>
  <si>
    <t>MF_%TOTAL_ERROR1</t>
  </si>
  <si>
    <t>Prespecified tapping rate = 16 taps per block, 64 taps per run, 0.67 Hz (64 taps in (24*4)sec)</t>
  </si>
  <si>
    <t>58.04</t>
  </si>
  <si>
    <t>0:25:69</t>
  </si>
  <si>
    <t>1:08:63</t>
  </si>
  <si>
    <t>54.18</t>
  </si>
  <si>
    <t>54.19</t>
  </si>
  <si>
    <t>54.20</t>
  </si>
  <si>
    <t>FRDA54.08P</t>
  </si>
  <si>
    <t>0:40:43</t>
  </si>
  <si>
    <t>1:53:06</t>
  </si>
  <si>
    <t>FARS</t>
  </si>
  <si>
    <t>FARS Date</t>
  </si>
  <si>
    <t>Age Onset</t>
  </si>
  <si>
    <t>GAA1</t>
  </si>
  <si>
    <t>GAA2</t>
  </si>
  <si>
    <t>Disease Dur</t>
  </si>
  <si>
    <t>Date scan</t>
  </si>
  <si>
    <t>Dis Dur</t>
  </si>
  <si>
    <t>1:34:31</t>
  </si>
  <si>
    <t>4:54:22</t>
  </si>
  <si>
    <t>1:27:18</t>
  </si>
  <si>
    <t>2:28:25</t>
  </si>
  <si>
    <t>FRDA54.09P</t>
  </si>
  <si>
    <t>FRDA54.10P</t>
  </si>
  <si>
    <t>English as second language, use NART?</t>
  </si>
  <si>
    <t>58.05</t>
  </si>
  <si>
    <t>0:35:10</t>
  </si>
  <si>
    <t>1:20:41</t>
  </si>
  <si>
    <t>58.06</t>
  </si>
  <si>
    <t>0:32:03</t>
  </si>
  <si>
    <t>1:10:25</t>
  </si>
  <si>
    <t>FRDA58.06C</t>
  </si>
  <si>
    <t>54.21</t>
  </si>
  <si>
    <t>54.22</t>
  </si>
  <si>
    <t>54.23</t>
  </si>
  <si>
    <t>54.24</t>
  </si>
  <si>
    <t>54.25</t>
  </si>
  <si>
    <t>54.26</t>
  </si>
  <si>
    <t>54.27</t>
  </si>
  <si>
    <t>54.28</t>
  </si>
  <si>
    <t>54.29</t>
  </si>
  <si>
    <t>54.31</t>
  </si>
  <si>
    <t>54.32</t>
  </si>
  <si>
    <t>54.30</t>
  </si>
  <si>
    <t>58.07</t>
  </si>
  <si>
    <t>0:32:21</t>
  </si>
  <si>
    <t>1:11:50</t>
  </si>
  <si>
    <t>FRDA58.07C</t>
  </si>
  <si>
    <t>58.08</t>
  </si>
  <si>
    <t>0:21:69</t>
  </si>
  <si>
    <t>0:44:41</t>
  </si>
  <si>
    <t>58.09</t>
  </si>
  <si>
    <t>0:35:59</t>
  </si>
  <si>
    <t>0:56:66</t>
  </si>
  <si>
    <t>FRDA58.09C</t>
  </si>
  <si>
    <t>0:56:04</t>
  </si>
  <si>
    <t>1:21:59</t>
  </si>
  <si>
    <t>FRDA54.11P</t>
  </si>
  <si>
    <t>ID</t>
  </si>
  <si>
    <t>GENDER</t>
  </si>
  <si>
    <t>AGE</t>
  </si>
  <si>
    <t>EDUCATION</t>
  </si>
  <si>
    <t>NART ERR</t>
  </si>
  <si>
    <t>EST IQ</t>
  </si>
  <si>
    <t>Some primary</t>
  </si>
  <si>
    <t>Males</t>
  </si>
  <si>
    <t>Some secondary</t>
  </si>
  <si>
    <t>Females</t>
  </si>
  <si>
    <t>Some secondary + trade cert</t>
  </si>
  <si>
    <t>Completed secondary</t>
  </si>
  <si>
    <t>Some tertiary</t>
  </si>
  <si>
    <t>58.10</t>
  </si>
  <si>
    <t>1:10:59</t>
  </si>
  <si>
    <t>0:50:97</t>
  </si>
  <si>
    <t>FRDA58.10C</t>
  </si>
  <si>
    <t>58.11</t>
  </si>
  <si>
    <t>0:37:59</t>
  </si>
  <si>
    <t>2:17:44</t>
  </si>
  <si>
    <t>FRDA58.11C</t>
  </si>
  <si>
    <t>*Did not understand/remember instructions for self-paced</t>
  </si>
  <si>
    <t>Do not use scan data</t>
  </si>
  <si>
    <t>FRDA58.12C</t>
  </si>
  <si>
    <t>58.12</t>
  </si>
  <si>
    <t>0:22:07</t>
  </si>
  <si>
    <t>1:26:47</t>
  </si>
  <si>
    <t>58.13</t>
  </si>
  <si>
    <t>0:21:00</t>
  </si>
  <si>
    <t>1:02:78</t>
  </si>
  <si>
    <t>FRDA58.13C</t>
  </si>
  <si>
    <t>FRDA58.04C (Sib of 58.05)</t>
  </si>
  <si>
    <t>FRDA58.05C (Sib of 58.04)</t>
  </si>
  <si>
    <t>FRDA54.12P</t>
  </si>
  <si>
    <t>1:39:50</t>
  </si>
  <si>
    <t>58.14</t>
  </si>
  <si>
    <t>0:22:06</t>
  </si>
  <si>
    <t>0:31:50</t>
  </si>
  <si>
    <t>same person - 54.02</t>
  </si>
  <si>
    <t>1:15:59</t>
  </si>
  <si>
    <t>1:37:50</t>
  </si>
  <si>
    <t>FRDA58.14C</t>
  </si>
  <si>
    <t>FRDA54.14P (Sib of 54.15P)</t>
  </si>
  <si>
    <t>0:52:06</t>
  </si>
  <si>
    <t>1:53:00</t>
  </si>
  <si>
    <t>1:08:34</t>
  </si>
  <si>
    <t>1:33:72</t>
  </si>
  <si>
    <t>FRDA54.15P (Sib of 54.14P)</t>
  </si>
  <si>
    <t>patient</t>
  </si>
  <si>
    <t>1:07:07</t>
  </si>
  <si>
    <t>1:52:69</t>
  </si>
  <si>
    <t>FRDA54.16P</t>
  </si>
  <si>
    <t>FRDA58.15C</t>
  </si>
  <si>
    <t>58.15</t>
  </si>
  <si>
    <t>0:39:22</t>
  </si>
  <si>
    <t>1:07:13</t>
  </si>
  <si>
    <t>FRDA54.17P</t>
  </si>
  <si>
    <t>0:41:25</t>
  </si>
  <si>
    <t>1:15:60</t>
  </si>
  <si>
    <t>58.16</t>
  </si>
  <si>
    <t>contol</t>
  </si>
  <si>
    <t>0:25:10</t>
  </si>
  <si>
    <t>0:39:44</t>
  </si>
  <si>
    <t>FRDA58.16C</t>
  </si>
  <si>
    <t>FRDA54.13P (Sib of 54.18P)</t>
  </si>
  <si>
    <t>0:33:04</t>
  </si>
  <si>
    <t>0:49:43</t>
  </si>
  <si>
    <t>0:51:19</t>
  </si>
  <si>
    <t>1:11:53</t>
  </si>
  <si>
    <t>FRDA54.19P</t>
  </si>
  <si>
    <t>T1 MVMT Visual</t>
  </si>
  <si>
    <t>N</t>
  </si>
  <si>
    <t>Y</t>
  </si>
  <si>
    <t>Y - bad</t>
  </si>
  <si>
    <t>FRDA54.20P</t>
  </si>
  <si>
    <t>0:25:25</t>
  </si>
  <si>
    <t>0:55:62</t>
  </si>
  <si>
    <t>left handed/ambi - can't use dat</t>
  </si>
  <si>
    <t>1:19:16</t>
  </si>
  <si>
    <t>2:13:03</t>
  </si>
  <si>
    <t>FRDA54.21P (Sib of 54.22P)</t>
  </si>
  <si>
    <t>FRDA54.22P (Sib of 54.21P)</t>
  </si>
  <si>
    <t>0:58:50</t>
  </si>
  <si>
    <t>1:28:78</t>
  </si>
  <si>
    <t>2BAvg%Corr1</t>
  </si>
  <si>
    <t>2BR2%Corr1</t>
  </si>
  <si>
    <t>2BR1%Corr1</t>
  </si>
  <si>
    <t>58.17</t>
  </si>
  <si>
    <t>DS Forward</t>
  </si>
  <si>
    <t>DS Back</t>
  </si>
  <si>
    <t>0:19:87</t>
  </si>
  <si>
    <t>0:49:56</t>
  </si>
  <si>
    <t>FRDA58.17C</t>
  </si>
  <si>
    <t>FRDA54.18P (Sib of 54.13P)</t>
  </si>
  <si>
    <t>FRDA58.18C</t>
  </si>
  <si>
    <t>58.18</t>
  </si>
  <si>
    <t>0:19:60</t>
  </si>
  <si>
    <t>0:57:60</t>
  </si>
  <si>
    <t>58.19</t>
  </si>
  <si>
    <t>0:26:62</t>
  </si>
  <si>
    <t>0:45:50</t>
  </si>
  <si>
    <t>FRDA58.19C</t>
  </si>
  <si>
    <t>58.20</t>
  </si>
  <si>
    <t>0:20:20</t>
  </si>
  <si>
    <t>0:52:37</t>
  </si>
  <si>
    <t>FRDA58.20C</t>
  </si>
  <si>
    <t>B-A</t>
  </si>
  <si>
    <t>B/A</t>
  </si>
  <si>
    <t>58.21</t>
  </si>
  <si>
    <t>0:27:03</t>
  </si>
  <si>
    <t>0:40:28</t>
  </si>
  <si>
    <t>Handedness (R&gt;40)</t>
  </si>
  <si>
    <t>FRDA58.21C</t>
  </si>
  <si>
    <t xml:space="preserve"> </t>
  </si>
  <si>
    <t>CogR2 Artefact</t>
  </si>
  <si>
    <t>CogR2 MVMT (&gt;0.02, &gt;3)</t>
  </si>
  <si>
    <t>Motor MVMT (&gt;0.02, &gt;3)</t>
  </si>
  <si>
    <t>Motor Artefact</t>
  </si>
  <si>
    <t>Free Run MVMT</t>
  </si>
  <si>
    <t>Free Run Artefact</t>
  </si>
  <si>
    <t>Y - coils?</t>
  </si>
  <si>
    <t>CogR1 Artefact</t>
  </si>
  <si>
    <t>N (diff angle)</t>
  </si>
  <si>
    <t>Y (diff angle)</t>
  </si>
  <si>
    <t>Y (cerebellar cavenoma)</t>
  </si>
  <si>
    <t>D/O, cerebellum cut</t>
  </si>
  <si>
    <t>wrong vxl space</t>
  </si>
  <si>
    <t>wrong voxel space</t>
  </si>
  <si>
    <t>Does not run prestats</t>
  </si>
  <si>
    <t>N (coils)</t>
  </si>
  <si>
    <t>Y (post-task?)</t>
  </si>
  <si>
    <t>58.22</t>
  </si>
  <si>
    <t>0:28:68</t>
  </si>
  <si>
    <t>0:43:12</t>
  </si>
  <si>
    <t>FRDA58.22C</t>
  </si>
  <si>
    <t>58.23</t>
  </si>
  <si>
    <t>0:18:66</t>
  </si>
  <si>
    <t>0:47:63</t>
  </si>
  <si>
    <t>FRDA58.23C</t>
  </si>
  <si>
    <t>FRDA54.23P</t>
  </si>
  <si>
    <t>0:27:62</t>
  </si>
  <si>
    <t>1:12:53</t>
  </si>
  <si>
    <t>58.24</t>
  </si>
  <si>
    <t>0:30:44</t>
  </si>
  <si>
    <t>0:47:28</t>
  </si>
  <si>
    <t>FRDA58.24C</t>
  </si>
  <si>
    <t>1:48:78</t>
  </si>
  <si>
    <t>2:54:78</t>
  </si>
  <si>
    <t>FRDA54.24P</t>
  </si>
  <si>
    <t>0:42:03</t>
  </si>
  <si>
    <t>1:25:56</t>
  </si>
  <si>
    <t>FRDA54.25P</t>
  </si>
  <si>
    <t>58.25</t>
  </si>
  <si>
    <t>0:25:31</t>
  </si>
  <si>
    <t>0:58:03</t>
  </si>
  <si>
    <t>FRDA58.25C</t>
  </si>
  <si>
    <t>-0.01-0.05 (rotations)</t>
  </si>
  <si>
    <t>-0.03-0.03 (rotations)</t>
  </si>
  <si>
    <t>-0.04-0.01 (rotations)</t>
  </si>
  <si>
    <t>-0.005-0.025 (rotations)</t>
  </si>
  <si>
    <t xml:space="preserve">CogR1 MCFLIRT estimation </t>
  </si>
  <si>
    <t xml:space="preserve">CogR1 MVMT </t>
  </si>
  <si>
    <t>-0.06-0.01 (rotations)</t>
  </si>
  <si>
    <t>-0.02-0.000 (rotations)</t>
  </si>
  <si>
    <t>-0.03-0.02 (rotations)</t>
  </si>
  <si>
    <t>Volumes</t>
  </si>
  <si>
    <t>84-85, 100-107</t>
  </si>
  <si>
    <t>17-18, 21-22, 34-35, 44, 53-55, 80-81, 96-99, 102</t>
  </si>
  <si>
    <t xml:space="preserve">12, 51, 64, 101, </t>
  </si>
  <si>
    <t>43, 46, 59, 79, 88, 99-100</t>
  </si>
  <si>
    <t>throughout, large at 113-118</t>
  </si>
  <si>
    <t>43-47, 115-116</t>
  </si>
  <si>
    <t>33-34, 76-77, 93-100</t>
  </si>
  <si>
    <t>throughout, 21-28</t>
  </si>
  <si>
    <t>21-22, 42, 45-48, 66, 78-80, 93-98</t>
  </si>
  <si>
    <t xml:space="preserve">CogR2 MCFLIRT estimation </t>
  </si>
  <si>
    <r>
      <t>min-max (limits &lt;</t>
    </r>
    <r>
      <rPr>
        <sz val="11"/>
        <color theme="1"/>
        <rFont val="Calibri"/>
        <family val="2"/>
      </rPr>
      <t>±</t>
    </r>
    <r>
      <rPr>
        <sz val="11"/>
        <color theme="1"/>
        <rFont val="Calibri"/>
        <family val="2"/>
        <scheme val="minor"/>
      </rPr>
      <t>0.02 &amp; &lt;±3)</t>
    </r>
  </si>
  <si>
    <t>1:42:34</t>
  </si>
  <si>
    <t>2:11:34</t>
  </si>
  <si>
    <t>FRDA54.26P</t>
  </si>
  <si>
    <t>-0.02-0.02 (rotations)</t>
  </si>
  <si>
    <t>-0.01-0.03 (rotations)</t>
  </si>
  <si>
    <t>-0.02-0.01 (rotations)</t>
  </si>
  <si>
    <t>0.00-0.03 (rotations)</t>
  </si>
  <si>
    <t>-0.02-0.00 (rotations)</t>
  </si>
  <si>
    <t>-0.01-0.02 (rotations)</t>
  </si>
  <si>
    <t>4, 21-22, 36-37, 39-40, 43-45, 47-48, 63-64, 78-83, 102-104, 115</t>
  </si>
  <si>
    <t>21-22, 37-44, 67-69, 91</t>
  </si>
  <si>
    <t xml:space="preserve">8-10, 77-78, 102-104, </t>
  </si>
  <si>
    <t>40, 116-118</t>
  </si>
  <si>
    <t xml:space="preserve">22-23, 25, 58-59, 63-64, 83, 96, </t>
  </si>
  <si>
    <t>1-2, 44-45, 61-62</t>
  </si>
  <si>
    <t>16-17, 38-41, 56-60, 72-73, 78, 83-85, 94, 103, 114</t>
  </si>
  <si>
    <t>58-62</t>
  </si>
  <si>
    <t>58.26</t>
  </si>
  <si>
    <t>0:29:72</t>
  </si>
  <si>
    <t>0:58:09</t>
  </si>
  <si>
    <t>FRDA58.26C</t>
  </si>
  <si>
    <t>FRDA58.27C</t>
  </si>
  <si>
    <t>58.27</t>
  </si>
  <si>
    <t>0:18:69</t>
  </si>
  <si>
    <t>1:19:75</t>
  </si>
  <si>
    <t>-0.07-0.01 (rotations)</t>
  </si>
  <si>
    <t>-0.02-0.005 (rotations)</t>
  </si>
  <si>
    <t>-0.03-0.00 (rotations)</t>
  </si>
  <si>
    <t>-0.02-0.015 (rotations)</t>
  </si>
  <si>
    <t>-0.02-0.04 (rotations)</t>
  </si>
  <si>
    <t>throughout</t>
  </si>
  <si>
    <t>20-25, 43, 51-53, 116-117</t>
  </si>
  <si>
    <t xml:space="preserve">19-22, 95-98, </t>
  </si>
  <si>
    <t>3-4, 21, 41, 59-60, 82-83, 102</t>
  </si>
  <si>
    <t>23, 58-59, 102</t>
  </si>
  <si>
    <t>DTI b1200 Artefact</t>
  </si>
  <si>
    <t>DTI b1200 volume</t>
  </si>
  <si>
    <t>DTI b3000 Artefact</t>
  </si>
  <si>
    <t>DTI b3000 Volume</t>
  </si>
  <si>
    <t>throughout, cerebellum clipped?</t>
  </si>
  <si>
    <t>0, 22-23, 78, 110-111, cerebellum clipped?</t>
  </si>
  <si>
    <t>58.28</t>
  </si>
  <si>
    <t>1:02:03</t>
  </si>
  <si>
    <t>FRDA58.28C</t>
  </si>
  <si>
    <t>58.29</t>
  </si>
  <si>
    <t>English as second language, disregard NART</t>
  </si>
  <si>
    <t>1:06:18</t>
  </si>
  <si>
    <t>FRDA58.29C</t>
  </si>
  <si>
    <t>FRDA54.27P</t>
  </si>
  <si>
    <t>2:14:18</t>
  </si>
  <si>
    <t>2:49:25</t>
  </si>
  <si>
    <t>FRDA54.28</t>
  </si>
  <si>
    <t>1:07:84</t>
  </si>
  <si>
    <t>1:37:16</t>
  </si>
  <si>
    <t>1:31:53</t>
  </si>
  <si>
    <t>1:43:62</t>
  </si>
  <si>
    <t>1:33:97</t>
  </si>
  <si>
    <t>2:55:69</t>
  </si>
  <si>
    <t>FRDA54.29P</t>
  </si>
  <si>
    <t>FRDA54.30P</t>
  </si>
  <si>
    <t>FRDA58.30C</t>
  </si>
  <si>
    <t>0:29:60</t>
  </si>
  <si>
    <t>FRDA54.31P</t>
  </si>
  <si>
    <t>58.30</t>
  </si>
  <si>
    <t>1:48:59</t>
  </si>
  <si>
    <t>1:56:50</t>
  </si>
  <si>
    <t>54.33</t>
  </si>
  <si>
    <t>54.34</t>
  </si>
  <si>
    <t>54.35</t>
  </si>
  <si>
    <t>54.36</t>
  </si>
  <si>
    <t>54.37</t>
  </si>
  <si>
    <t>54.38</t>
  </si>
  <si>
    <t>54.39</t>
  </si>
  <si>
    <t>54.40</t>
  </si>
  <si>
    <t>54.41</t>
  </si>
  <si>
    <t>54.42</t>
  </si>
  <si>
    <t>54.43</t>
  </si>
  <si>
    <t>54.44</t>
  </si>
  <si>
    <t>54.45</t>
  </si>
  <si>
    <t>1:36:97</t>
  </si>
  <si>
    <t>2:06:82</t>
  </si>
  <si>
    <t>FRDA54.33P</t>
  </si>
  <si>
    <t>0:55:78</t>
  </si>
  <si>
    <t>1:24:00</t>
  </si>
  <si>
    <t>FRDA58.31C</t>
  </si>
  <si>
    <t>58.31</t>
  </si>
  <si>
    <t>0:30:21</t>
  </si>
  <si>
    <t>0:58:25</t>
  </si>
  <si>
    <t>58.32</t>
  </si>
  <si>
    <t>0:24:71</t>
  </si>
  <si>
    <t>1:07:56</t>
  </si>
  <si>
    <t>1:29:90</t>
  </si>
  <si>
    <t>2:21:28</t>
  </si>
  <si>
    <t>FRDA54.34P</t>
  </si>
  <si>
    <t>FRDA58.32C</t>
  </si>
  <si>
    <t>FRDA58.33C</t>
  </si>
  <si>
    <t>58.33</t>
  </si>
  <si>
    <t>0:22:97</t>
  </si>
  <si>
    <t>0:43:57</t>
  </si>
  <si>
    <t>0:40:56</t>
  </si>
  <si>
    <t>1:11:16</t>
  </si>
  <si>
    <t>FRDA54.35P</t>
  </si>
  <si>
    <t>DSBack1</t>
  </si>
  <si>
    <t>DSForward1</t>
  </si>
  <si>
    <t>FRDA54.36P</t>
  </si>
  <si>
    <t>0:43:44</t>
  </si>
  <si>
    <t>1:20:38</t>
  </si>
  <si>
    <t>58.34</t>
  </si>
  <si>
    <t>23 (11)</t>
  </si>
  <si>
    <t>0:29:75</t>
  </si>
  <si>
    <t>0:45:03</t>
  </si>
  <si>
    <t>58.35</t>
  </si>
  <si>
    <t>0:27:19</t>
  </si>
  <si>
    <t>1:03:88</t>
  </si>
  <si>
    <t>FRDA58.34C</t>
  </si>
  <si>
    <t>FRDA58.35C</t>
  </si>
  <si>
    <t>FRDA54.37P</t>
  </si>
  <si>
    <t>0:44:38</t>
  </si>
  <si>
    <t>1:26:16</t>
  </si>
  <si>
    <t>FRDA58.36C</t>
  </si>
  <si>
    <t>58.36</t>
  </si>
  <si>
    <t>0:27:69</t>
  </si>
  <si>
    <t>1:01:82</t>
  </si>
  <si>
    <t>-0.05-0.01 (rotations)</t>
  </si>
  <si>
    <t>0.00-0.02 (rotations)</t>
  </si>
  <si>
    <t>-0.075-0.00 (rotations)</t>
  </si>
  <si>
    <t>-0.04-0.00 (rotations)</t>
  </si>
  <si>
    <t>39, 56-57, 77-78</t>
  </si>
  <si>
    <t>4-6, 20, 56-57, 78-79, 95-97</t>
  </si>
  <si>
    <t>2-4, 11, 17-19, 38, 61-63, 70-71, 79-80, 96-97, 111</t>
  </si>
  <si>
    <t>7-8, 17-18, 37-39, 56-57, 77-78, 96-97, 116-118</t>
  </si>
  <si>
    <t>motor cortex clipped. Field inhomogeneity</t>
  </si>
  <si>
    <t>6-7</t>
  </si>
  <si>
    <t>-0.03-0.00(rotation), -3-0(translation)</t>
  </si>
  <si>
    <t>-0.03-0.01 (rotations)</t>
  </si>
  <si>
    <t>0-0.03 (rotations)</t>
  </si>
  <si>
    <t>3-6</t>
  </si>
  <si>
    <t>5-6, 23, 43, 56-59, 64-66, 90, 101-103</t>
  </si>
  <si>
    <t>slight drift over scan, frontal drop-out</t>
  </si>
  <si>
    <t>slight drift and frontal and temporal drop-out</t>
  </si>
  <si>
    <t>16-17, 40-41, 55-56, 76-77, 80-82, 100-102, 115-116</t>
  </si>
  <si>
    <t>field imhomogeneity, motor cortex clipped, 110-114</t>
  </si>
  <si>
    <t>?</t>
  </si>
  <si>
    <t>trouble running pre-stats</t>
  </si>
  <si>
    <t>cerebellum clipped?</t>
  </si>
  <si>
    <t>field inhomogeneity</t>
  </si>
  <si>
    <t>dcm2nii did not convert properly</t>
  </si>
  <si>
    <t>motor cortex clipped?</t>
  </si>
  <si>
    <t xml:space="preserve">Motor MCFLIRT estimation </t>
  </si>
  <si>
    <t>field inhomogeneity, 6-7</t>
  </si>
  <si>
    <t>44-47</t>
  </si>
  <si>
    <t>114-116</t>
  </si>
  <si>
    <t>-0.04-0.03 (rotations)</t>
  </si>
  <si>
    <t>-0.02-0.01 (rotataions)</t>
  </si>
  <si>
    <t>-0.025-0.005 (rotations)</t>
  </si>
  <si>
    <t>-0.06-0.02 (rotations)</t>
  </si>
  <si>
    <t>No Scan</t>
  </si>
  <si>
    <t>-0.02-0.03 (rotations)</t>
  </si>
  <si>
    <t>-0.04-0.02 (rotations)</t>
  </si>
  <si>
    <t>-0.005-0.02 (rotations)</t>
  </si>
  <si>
    <t>0-4 (translations)</t>
  </si>
  <si>
    <t xml:space="preserve">Free Run MCFLIRT estimation </t>
  </si>
  <si>
    <t>17-18, 35-37, 45-47, 57-62, 69-70, 73, 91, 96-98, 111-114, 122-123, 140-152</t>
  </si>
  <si>
    <t>22-24, 62-63, 72-74, 114, 132-133, 137-139, 150-153</t>
  </si>
  <si>
    <t>76, 105-106, 111-115, 118-120, 129-130, 134-156</t>
  </si>
  <si>
    <t>132-136</t>
  </si>
  <si>
    <t>34-36, 151-154</t>
  </si>
  <si>
    <t>21-23, 33-34, 60, 146-147</t>
  </si>
  <si>
    <t>throughout, cerebellum slightly clipped?</t>
  </si>
  <si>
    <t>2-3, 148-156</t>
  </si>
  <si>
    <t>82-86</t>
  </si>
  <si>
    <t>52-53, 129-130, 146</t>
  </si>
  <si>
    <t>throughout, cerebellum clipped</t>
  </si>
  <si>
    <t>4-5, 17, 59, 65-66, 97-98, 133-135, 143-144, 152-155</t>
  </si>
  <si>
    <t>1-3, 27, 35-36, 71-72, 100, 116-119, 132-133</t>
  </si>
  <si>
    <t>40-42, 65-67, 120-122</t>
  </si>
  <si>
    <t>motor cortext clipped, drift over time</t>
  </si>
  <si>
    <t>38-40, 65-67, 72-75, 83-84, 97-98, 122-124, 147-148</t>
  </si>
  <si>
    <t>19-20, 136-138, 153, cerebellum clipped?</t>
  </si>
  <si>
    <t>can't upload image (not converted properly)</t>
  </si>
  <si>
    <t>7-9</t>
  </si>
  <si>
    <t>11, 47-50</t>
  </si>
  <si>
    <t>drift</t>
  </si>
  <si>
    <t>8, 44-46, 67</t>
  </si>
  <si>
    <t>32-33</t>
  </si>
  <si>
    <t>1-2, 44-45, 55</t>
  </si>
  <si>
    <t>8-9, 35, 53-61</t>
  </si>
  <si>
    <t>4-5, 34-35, 49, 60, 64-77, 86</t>
  </si>
  <si>
    <t>field inhomogeneity, frontal lobe drop out</t>
  </si>
  <si>
    <t xml:space="preserve"> cerebellar cavenoma</t>
  </si>
  <si>
    <t xml:space="preserve"> diff angle</t>
  </si>
  <si>
    <t>58.37</t>
  </si>
  <si>
    <t>0:26:82</t>
  </si>
  <si>
    <t>0:44:22</t>
  </si>
  <si>
    <t>FRDA58.37C</t>
  </si>
  <si>
    <t>54-55</t>
  </si>
  <si>
    <t>frontal drop out?</t>
  </si>
  <si>
    <t>69-73</t>
  </si>
  <si>
    <t>field inhomogeneity,  6, 46-47, 61-62</t>
  </si>
  <si>
    <t>50, 66</t>
  </si>
  <si>
    <t>87 - top half of scan missing</t>
  </si>
  <si>
    <t>FRDA54.38P</t>
  </si>
  <si>
    <t>0:34:59</t>
  </si>
  <si>
    <t>1:10:66</t>
  </si>
  <si>
    <t>2BStDevRT1</t>
  </si>
  <si>
    <t>0BStDevRT1</t>
  </si>
  <si>
    <t>Offline motor data</t>
  </si>
  <si>
    <t>STAP_ITI</t>
  </si>
  <si>
    <t>PTAP precision measure</t>
  </si>
  <si>
    <t>PTAP_slow</t>
  </si>
  <si>
    <t>PTAP_fast</t>
  </si>
  <si>
    <t>BDI2</t>
  </si>
  <si>
    <t>Scan Date2</t>
  </si>
  <si>
    <t>Age2</t>
  </si>
  <si>
    <t>DigitSpan2</t>
  </si>
  <si>
    <t>DSForward2</t>
  </si>
  <si>
    <t>DSBack2</t>
  </si>
  <si>
    <t>NART2</t>
  </si>
  <si>
    <t>Yrs of Ed2</t>
  </si>
  <si>
    <t>TRAILA2</t>
  </si>
  <si>
    <t>TRAILB2</t>
  </si>
  <si>
    <t>HAYLINGS2</t>
  </si>
  <si>
    <t>STROOP2</t>
  </si>
  <si>
    <t>NART error score</t>
  </si>
  <si>
    <t>Yrs of Ed1</t>
  </si>
  <si>
    <t>2</t>
  </si>
  <si>
    <t>0.48.72</t>
  </si>
  <si>
    <t>1.01.5</t>
  </si>
  <si>
    <t>1:22:97</t>
  </si>
  <si>
    <t>1:45:29</t>
  </si>
  <si>
    <t>EHI1</t>
  </si>
  <si>
    <t>3:06:03</t>
  </si>
  <si>
    <t>1:21:56</t>
  </si>
  <si>
    <t>2:10:50</t>
  </si>
  <si>
    <t>0:15:53</t>
  </si>
  <si>
    <t>1:24:22</t>
  </si>
  <si>
    <t>0BR1%Corr2</t>
  </si>
  <si>
    <t>2BR1%Corr2</t>
  </si>
  <si>
    <t>0BR1RT2</t>
  </si>
  <si>
    <t>2BR1RT2</t>
  </si>
  <si>
    <t>0BR2%Corr2</t>
  </si>
  <si>
    <t>2BR2%Corr2</t>
  </si>
  <si>
    <t>0BR2RT2</t>
  </si>
  <si>
    <t>2BR2RT2</t>
  </si>
  <si>
    <t>0BAvg%Corr2</t>
  </si>
  <si>
    <t>2BAvg%Corr2</t>
  </si>
  <si>
    <t>0BAvgRT2</t>
  </si>
  <si>
    <t>2BAvgRT2</t>
  </si>
  <si>
    <t>0BStDevRT2</t>
  </si>
  <si>
    <t>2BStDevRT2</t>
  </si>
  <si>
    <t>1:55:62</t>
  </si>
  <si>
    <t>3:09:41</t>
  </si>
  <si>
    <t>MEDS</t>
  </si>
  <si>
    <t>None</t>
  </si>
  <si>
    <t>oral contraceptive pill</t>
  </si>
  <si>
    <t>0:21:31</t>
  </si>
  <si>
    <t>0:41:03</t>
  </si>
  <si>
    <t>0:22:00</t>
  </si>
  <si>
    <t>1:07:09</t>
  </si>
  <si>
    <t>1:26:97</t>
  </si>
  <si>
    <t>3:10:44</t>
  </si>
  <si>
    <t>0:25:28</t>
  </si>
  <si>
    <t>0:46:44</t>
  </si>
  <si>
    <t>1:30:57</t>
  </si>
  <si>
    <t>4:42:97</t>
  </si>
  <si>
    <t>0:28:34</t>
  </si>
  <si>
    <t>0:52:38</t>
  </si>
  <si>
    <t>Yrs of Ed</t>
  </si>
  <si>
    <t>Valproate 1000mg - for mood disorder. Given by psychiatrist, however no specific mood disorder diagnosed, only enough 'symptoms' of anxiety/depression to warrant trying medication. Started taking early July2015</t>
  </si>
  <si>
    <t>0:29:19</t>
  </si>
  <si>
    <t>0:58:22</t>
  </si>
  <si>
    <t>0:23:29</t>
  </si>
  <si>
    <t>0:46:37</t>
  </si>
  <si>
    <t>0:50:87</t>
  </si>
  <si>
    <t>1:52:50</t>
  </si>
  <si>
    <t>Budesonide/formoterol (Symbicort) - for asthma, taken as needed (2x week in winter if sick, 1x week as needed at other times)</t>
  </si>
  <si>
    <t>0:22:16</t>
  </si>
  <si>
    <t>0:23:66</t>
  </si>
  <si>
    <t>0:48:16</t>
  </si>
  <si>
    <t>1:25:28</t>
  </si>
  <si>
    <t>No meds. Mother died of Motor Neuron Disease recently</t>
  </si>
  <si>
    <t>0:19:25</t>
  </si>
  <si>
    <t>0:36:28</t>
  </si>
  <si>
    <t>00:15:65</t>
  </si>
  <si>
    <t>0:43:91</t>
  </si>
  <si>
    <t>1:13:69</t>
  </si>
  <si>
    <t>3:27:31</t>
  </si>
  <si>
    <t>0:19:35</t>
  </si>
  <si>
    <t>0:39:31</t>
  </si>
  <si>
    <t>0:31:87</t>
  </si>
  <si>
    <t>0:56:72</t>
  </si>
  <si>
    <t>0:43:79</t>
  </si>
  <si>
    <t>2:00:60</t>
  </si>
  <si>
    <t>1:44:60</t>
  </si>
  <si>
    <t>3:26:56</t>
  </si>
  <si>
    <t>0:59:22</t>
  </si>
  <si>
    <t>2:16:34</t>
  </si>
  <si>
    <t>1:04:15</t>
  </si>
  <si>
    <t>1:40:03</t>
  </si>
  <si>
    <t>FARS2</t>
  </si>
  <si>
    <t>Disease Dur2</t>
  </si>
  <si>
    <t>Vitamin E 1000IU, Selenium, Dabigatran 300mg, Carvedilol 50mg, Candesartan 4mg, Amiodarone 100mg, Spironolactone 25mg, Gabapentin 1200mg, Frusemide 40mg, Vitamin B100 complex, Magnesium 1000mg, Viralex immune booster, Metamucil, Lactulose</t>
  </si>
  <si>
    <t>Vitamin E 1000IU, Selenium ACE, Vitamin B Complex, Cranberry, Magnesium, Yogurt capsule, psyllium, viralex immune booster</t>
  </si>
  <si>
    <t>Vitamin E 500 IU, Idebenone 2500mg, Metamucil 1050mg, Losec 20mg, Metoprolol 75mg, Vesicare 10mg, Movicol 1/2 tab, Vitamin C 500mg, Ferro-Grad C, Magnesium 500mcg, Coloxyl 50mg, Brevinor</t>
  </si>
  <si>
    <t>Idebenone, Oxybutynin</t>
  </si>
  <si>
    <t>Duloxetine 30mg, Diazepam 5mg, Clonazepam 0.5mg</t>
  </si>
  <si>
    <t>Seretide 500mcg</t>
  </si>
  <si>
    <t>Baclofen 40mg, Vitamin D 1000mg, Caltrate 600mg, Inner health plus, Panadol osteo, Evista, Pacam 0.5mg, Aratac 100mg, Lipitor 10mg, Thyroxine 100mg, Lyrica, Novorapid, Lantus, Magnesium 4 tabs</t>
  </si>
  <si>
    <t>Metformin 1000mg; Insulin 24 units; Zoloft 200mg; Salazopyrin 500mg; Aspirin 100mg; Caltrate 600mg</t>
  </si>
  <si>
    <t>Thyroxine 75mcg</t>
  </si>
  <si>
    <t>Ditropan 10mg, Ramipril 10mg</t>
  </si>
  <si>
    <t>Ditropan 10mg</t>
  </si>
  <si>
    <t>Vitamin E 2 tabs; Idebenone 1500mg</t>
  </si>
  <si>
    <t>Metoprolol 100mg, Digoxin 250mg, Pandeine forte, Endone, Temazapam</t>
  </si>
  <si>
    <t>Ramipril, Vitamin D, Atenolol, Sertraline, Diabex</t>
  </si>
  <si>
    <t>Multivitamin 1 tab, Targin PRN 5mg, Avanza, Resveratrol</t>
  </si>
  <si>
    <t>Tryzan 2.5mg, Avanza 15mg</t>
  </si>
  <si>
    <t>Perindopril 2mg; Omega 3; Vitamin B12; Vitamin D; Folate</t>
  </si>
  <si>
    <t>Nadolol 40mg</t>
  </si>
  <si>
    <t>Creatine 5g</t>
  </si>
  <si>
    <t>Test ApoE</t>
  </si>
  <si>
    <t>Informed of result</t>
  </si>
  <si>
    <t>Future gene testing</t>
  </si>
  <si>
    <t>0:34:44</t>
  </si>
  <si>
    <t>1:34:00</t>
  </si>
  <si>
    <t>0:36:72</t>
  </si>
  <si>
    <t>0:41:53</t>
  </si>
  <si>
    <t>0:23:31</t>
  </si>
  <si>
    <t>0:42:56</t>
  </si>
  <si>
    <t>0:38:75</t>
  </si>
  <si>
    <t>1:36:59</t>
  </si>
  <si>
    <t>B/A2</t>
  </si>
  <si>
    <t>B-A2</t>
  </si>
  <si>
    <t>MF_%Correct2</t>
  </si>
  <si>
    <t>MF_%TOTAL_ERROR2</t>
  </si>
  <si>
    <t>SP_TOTAL_TAPS2</t>
  </si>
  <si>
    <t>SP_FREQ(Hz)2</t>
  </si>
  <si>
    <t>n/a</t>
  </si>
  <si>
    <t>0:43:72</t>
  </si>
  <si>
    <t>0:47:41</t>
  </si>
  <si>
    <t>1:03:65</t>
  </si>
  <si>
    <t>1:58:88</t>
  </si>
  <si>
    <t>0:16:59</t>
  </si>
  <si>
    <t>0:37:85</t>
  </si>
  <si>
    <t>0:47:00</t>
  </si>
  <si>
    <t>0:38:56</t>
  </si>
  <si>
    <t>1:45:03</t>
  </si>
  <si>
    <t>0:26:72</t>
  </si>
  <si>
    <t>0:55:25</t>
  </si>
  <si>
    <t>1:03:12</t>
  </si>
  <si>
    <t>2:13:91</t>
  </si>
  <si>
    <t>0:57</t>
  </si>
  <si>
    <t>1:33</t>
  </si>
  <si>
    <t>0:26:25</t>
  </si>
  <si>
    <t>0:52:65</t>
  </si>
  <si>
    <t>1:12:00</t>
  </si>
  <si>
    <t>2:08:00</t>
  </si>
  <si>
    <t>0:17:29</t>
  </si>
  <si>
    <t>0:58:41</t>
  </si>
  <si>
    <t>0:26:68</t>
  </si>
  <si>
    <t>0:55:09</t>
  </si>
  <si>
    <t>1:45:47</t>
  </si>
  <si>
    <t>1:50:57</t>
  </si>
  <si>
    <t>2:50:47</t>
  </si>
  <si>
    <t>1:19:15</t>
  </si>
  <si>
    <t>1:44:00</t>
  </si>
  <si>
    <t>2:18:59</t>
  </si>
  <si>
    <t>0:23:37</t>
  </si>
  <si>
    <t>0:36:84</t>
  </si>
  <si>
    <t>0:35:81</t>
  </si>
  <si>
    <t>1:26:03</t>
  </si>
  <si>
    <t>0:27:00</t>
  </si>
  <si>
    <t>0:50:19</t>
  </si>
  <si>
    <t>1:00:09</t>
  </si>
  <si>
    <t>0:19:84</t>
  </si>
  <si>
    <t>0:39:59</t>
  </si>
  <si>
    <t>none</t>
  </si>
  <si>
    <t>Caduet 10/10 - 1 morning and night (hypertension and cholesterol), Lyrica 300mg - 1 per day</t>
  </si>
  <si>
    <t>0:19:18</t>
  </si>
  <si>
    <t>0:48:81</t>
  </si>
  <si>
    <t>0:32:84</t>
  </si>
  <si>
    <t>0:53:50</t>
  </si>
  <si>
    <t>1:55:72</t>
  </si>
  <si>
    <t>2:40:13</t>
  </si>
  <si>
    <t>0:35:87</t>
  </si>
  <si>
    <t>1:20:66</t>
  </si>
  <si>
    <t>0:28:46</t>
  </si>
  <si>
    <t>0:49:71</t>
  </si>
  <si>
    <t>Trandopril 5mg per day</t>
  </si>
  <si>
    <t>1:04:75</t>
  </si>
  <si>
    <t>0:20:93</t>
  </si>
  <si>
    <t>1:10:72</t>
  </si>
  <si>
    <t>0:13:72</t>
  </si>
  <si>
    <t>0:29:50</t>
  </si>
  <si>
    <t>Oral contraceptive pill</t>
  </si>
  <si>
    <t>1:01:09</t>
  </si>
  <si>
    <t>1:31:34</t>
  </si>
  <si>
    <t>0:41:91</t>
  </si>
  <si>
    <t>1:30:93</t>
  </si>
  <si>
    <t>FRDA58.08C</t>
  </si>
  <si>
    <t>FRDA54.32P</t>
  </si>
  <si>
    <t>Offline motor data2</t>
  </si>
  <si>
    <t>STAP_ITI2</t>
  </si>
  <si>
    <t>PTAP_slow2</t>
  </si>
  <si>
    <t>PTAP_fast2</t>
  </si>
  <si>
    <t>PTAP precision measure2</t>
  </si>
  <si>
    <t>FARS2 Date</t>
  </si>
  <si>
    <t>Atenolol 25mg</t>
  </si>
  <si>
    <t>Metformin 1500mg, Lipitor 20mg, Lyrica 25mg, Lyrica 75mg, Coversyl 10mg, Aspirin 100mg, B12 injection 1mg/1ml/3 months, Onglyza 2.5mg, Vitamin D3 1000IU</t>
  </si>
  <si>
    <t>Coenzyme Q10, Fish oil, Magnesium 1000mg, Folic acid, Vitamin B12, Sertraline 100mg</t>
  </si>
  <si>
    <t>Metformin 500mg, Gliclazide 80mg, Diltiazen 120mg, Calcium 500mg, Losartin potassium 50mg, Citalopram 20mg, Pradoxa 150mg, Zetop 10mg, Pacifen 10mg, Omeprazole 20mg, Atorvastatin 20mg, Lantus 21 units, Paracetamol 500mg, Konsyl D 2 tsp, Glucosamine</t>
  </si>
  <si>
    <t>Bisoprolol 2.5mg, Peridopril 2.5mg</t>
  </si>
  <si>
    <t>Idebenone 2000mg, Vit E 200IU, EPO 1 dose/3 months</t>
  </si>
  <si>
    <t>Idebenone 2000mg, Vitamin E 200IU, EPO 3000IU every 3 months</t>
  </si>
  <si>
    <t>Idebenone 4000mg</t>
  </si>
  <si>
    <t>Sotalol 160mg; Avapro 75mg; Lipitor 20mg; Idebenone 2000mg; Warfarin 5.5mg</t>
  </si>
  <si>
    <t>Idebenone 3000mg</t>
  </si>
  <si>
    <t>Vitamin E, Idebenone, Atenolol 50mg, Oral Contraceptive Pill, Ventolin</t>
  </si>
  <si>
    <t>Vitamin E, Coenzyme Q10</t>
  </si>
  <si>
    <t>Vitamin E 500IU, Idebenone 1g, Niacin 2g, Topiramate 50mg, Cymbalta 120mg, Ditropan 7.5mg, Vitamin B12, Vitamin D 5000IU, Zyrtec, Celebrex, Glucosamine (not sure if current)</t>
  </si>
  <si>
    <t>Implanon</t>
  </si>
  <si>
    <t>0:37:97</t>
  </si>
  <si>
    <t>1:07:78</t>
  </si>
  <si>
    <t>*did not stop tapping, did not do task properly</t>
  </si>
  <si>
    <t>*did not do task properly</t>
  </si>
  <si>
    <t>TP2-TP1(yrs)</t>
  </si>
  <si>
    <t>TP2-TP1(mos)</t>
  </si>
  <si>
    <t>0</t>
  </si>
  <si>
    <t>100</t>
  </si>
  <si>
    <t>1/1</t>
  </si>
  <si>
    <t>SARA date1</t>
  </si>
  <si>
    <t>Not done</t>
  </si>
  <si>
    <t>SARA1</t>
  </si>
  <si>
    <t>SARA date 2</t>
  </si>
  <si>
    <t>29</t>
  </si>
  <si>
    <t>NOT DONE</t>
  </si>
  <si>
    <t>SARA2</t>
  </si>
  <si>
    <t>don’t use</t>
  </si>
  <si>
    <t>*missed first trial MF</t>
  </si>
  <si>
    <t xml:space="preserve">*potentially exclude as for block on completed correctly </t>
  </si>
  <si>
    <t>*didn't do first block properly, may need to exclude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</si>
</sst>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1"/>
      <color theme="1"/>
      <name val="Calibri"/>
      <family val="2"/>
      <scheme val="minor"/>
    </font>
    <font>
      <b/>
      <sz val="11"/>
      <name val="Calibri"/>
      <family val="2"/>
      <scheme val="minor"/>
    </font>
    <font>
      <sz val="11"/>
      <color theme="9" tint="-0.249977111117893"/>
      <name val="Calibri"/>
      <family val="2"/>
      <scheme val="minor"/>
    </font>
    <font>
      <b/>
      <sz val="18"/>
      <color theme="1"/>
      <name val="Calibri"/>
      <family val="2"/>
      <scheme val="minor"/>
    </font>
    <font>
      <b/>
      <sz val="20"/>
      <color theme="1"/>
      <name val="Calibri"/>
      <family val="2"/>
      <scheme val="minor"/>
    </font>
    <font>
      <b/>
      <u/>
      <sz val="11"/>
      <color theme="1"/>
      <name val="Calibri"/>
      <family val="2"/>
      <scheme val="minor"/>
    </font>
    <font>
      <b/>
      <u/>
      <sz val="24"/>
      <color theme="1"/>
      <name val="Calibri"/>
      <family val="2"/>
      <scheme val="minor"/>
    </font>
    <font>
      <b/>
      <sz val="11"/>
      <color theme="9" tint="-0.249977111117893"/>
      <name val="Calibri"/>
      <family val="2"/>
      <scheme val="minor"/>
    </font>
    <font>
      <sz val="11"/>
      <name val="Calibri"/>
      <family val="2"/>
      <scheme val="minor"/>
    </font>
    <font>
      <sz val="11"/>
      <color rgb="FFFF0000"/>
      <name val="Calibri"/>
      <family val="2"/>
      <scheme val="minor"/>
    </font>
    <font>
      <b/>
      <sz val="14"/>
      <color theme="1"/>
      <name val="Calibri"/>
      <family val="2"/>
      <scheme val="minor"/>
    </font>
    <font>
      <sz val="9"/>
      <color indexed="81"/>
      <name val="Tahoma"/>
      <family val="2"/>
    </font>
    <font>
      <b/>
      <sz val="9"/>
      <color indexed="81"/>
      <name val="Tahoma"/>
      <family val="2"/>
    </font>
    <font>
      <sz val="11"/>
      <color rgb="FFFE5854"/>
      <name val="Calibri"/>
      <family val="2"/>
      <scheme val="minor"/>
    </font>
    <font>
      <sz val="10"/>
      <color indexed="8"/>
      <name val="Arial"/>
      <family val="2"/>
    </font>
    <font>
      <sz val="11"/>
      <color indexed="8"/>
      <name val="Calibri"/>
      <family val="2"/>
    </font>
    <font>
      <sz val="10"/>
      <name val="Arial"/>
      <family val="2"/>
    </font>
    <font>
      <b/>
      <sz val="11"/>
      <color rgb="FFFF0000"/>
      <name val="Calibri"/>
      <family val="2"/>
      <scheme val="minor"/>
    </font>
    <font>
      <sz val="11"/>
      <color indexed="8"/>
      <name val="Calibri"/>
      <family val="2"/>
      <scheme val="minor"/>
    </font>
    <font>
      <sz val="11"/>
      <color theme="1"/>
      <name val="Calibri"/>
      <family val="2"/>
    </font>
    <font>
      <sz val="12"/>
      <color theme="1"/>
      <name val="Calibri"/>
      <family val="2"/>
      <scheme val="minor"/>
    </font>
    <font>
      <sz val="11"/>
      <color rgb="FF000000"/>
      <name val="Calibri"/>
      <family val="2"/>
      <scheme val="minor"/>
    </font>
    <font>
      <u/>
      <sz val="11"/>
      <color theme="10"/>
      <name val="Calibri"/>
      <family val="2"/>
      <scheme val="minor"/>
    </font>
    <font>
      <u/>
      <sz val="11"/>
      <color theme="11"/>
      <name val="Calibri"/>
      <family val="2"/>
      <scheme val="minor"/>
    </font>
    <font>
      <sz val="10"/>
      <color indexed="8"/>
      <name val="Arial"/>
      <family val="2"/>
    </font>
    <font>
      <sz val="11"/>
      <color indexed="8"/>
      <name val="Calibri"/>
      <family val="2"/>
    </font>
  </fonts>
  <fills count="28">
    <fill>
      <patternFill patternType="none"/>
    </fill>
    <fill>
      <patternFill patternType="gray125"/>
    </fill>
    <fill>
      <patternFill patternType="solid">
        <fgColor theme="9" tint="0.59999389629810485"/>
        <bgColor indexed="64"/>
      </patternFill>
    </fill>
    <fill>
      <patternFill patternType="solid">
        <fgColor rgb="FFCC99FF"/>
        <bgColor indexed="64"/>
      </patternFill>
    </fill>
    <fill>
      <patternFill patternType="solid">
        <fgColor rgb="FFFF66FF"/>
        <bgColor indexed="64"/>
      </patternFill>
    </fill>
    <fill>
      <patternFill patternType="solid">
        <fgColor rgb="FFFF7C80"/>
        <bgColor indexed="64"/>
      </patternFill>
    </fill>
    <fill>
      <patternFill patternType="solid">
        <fgColor rgb="FFFFCC66"/>
        <bgColor indexed="64"/>
      </patternFill>
    </fill>
    <fill>
      <patternFill patternType="solid">
        <fgColor rgb="FF99FF66"/>
        <bgColor indexed="64"/>
      </patternFill>
    </fill>
    <fill>
      <patternFill patternType="solid">
        <fgColor rgb="FF00FFFF"/>
        <bgColor indexed="64"/>
      </patternFill>
    </fill>
    <fill>
      <patternFill patternType="solid">
        <fgColor rgb="FF6699FF"/>
        <bgColor indexed="64"/>
      </patternFill>
    </fill>
    <fill>
      <patternFill patternType="solid">
        <fgColor theme="2"/>
        <bgColor indexed="64"/>
      </patternFill>
    </fill>
    <fill>
      <patternFill patternType="solid">
        <fgColor theme="0"/>
        <bgColor indexed="64"/>
      </patternFill>
    </fill>
    <fill>
      <patternFill patternType="solid">
        <fgColor rgb="FF66CCFF"/>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89A5FF"/>
        <bgColor indexed="64"/>
      </patternFill>
    </fill>
    <fill>
      <patternFill patternType="solid">
        <fgColor rgb="FFFE5854"/>
        <bgColor indexed="64"/>
      </patternFill>
    </fill>
    <fill>
      <patternFill patternType="solid">
        <fgColor rgb="FF33CCFF"/>
        <bgColor indexed="64"/>
      </patternFill>
    </fill>
    <fill>
      <patternFill patternType="solid">
        <fgColor theme="8" tint="0.59999389629810485"/>
        <bgColor indexed="64"/>
      </patternFill>
    </fill>
    <fill>
      <patternFill patternType="solid">
        <fgColor rgb="FF9999FF"/>
        <bgColor indexed="64"/>
      </patternFill>
    </fill>
    <fill>
      <patternFill patternType="solid">
        <fgColor theme="3" tint="0.79998168889431442"/>
        <bgColor indexed="64"/>
      </patternFill>
    </fill>
    <fill>
      <patternFill patternType="solid">
        <fgColor rgb="FFFF6699"/>
        <bgColor indexed="64"/>
      </patternFill>
    </fill>
    <fill>
      <patternFill patternType="solid">
        <fgColor theme="8" tint="0.39997558519241921"/>
        <bgColor indexed="64"/>
      </patternFill>
    </fill>
    <fill>
      <patternFill patternType="solid">
        <fgColor rgb="FF66FFFF"/>
        <bgColor indexed="64"/>
      </patternFill>
    </fill>
    <fill>
      <patternFill patternType="solid">
        <fgColor rgb="FF8999FF"/>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
      <left style="thin">
        <color auto="1"/>
      </left>
      <right/>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style="thin">
        <color indexed="22"/>
      </left>
      <right style="thin">
        <color indexed="22"/>
      </right>
      <top style="thin">
        <color indexed="22"/>
      </top>
      <bottom style="thin">
        <color indexed="22"/>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15" fillId="0" borderId="0"/>
    <xf numFmtId="0" fontId="15" fillId="0"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0"/>
    <xf numFmtId="0" fontId="23" fillId="0" borderId="0" applyNumberFormat="0" applyFill="0" applyBorder="0" applyAlignment="0" applyProtection="0"/>
  </cellStyleXfs>
  <cellXfs count="698">
    <xf numFmtId="0" fontId="0" fillId="0" borderId="0" xfId="0"/>
    <xf numFmtId="0" fontId="1" fillId="0" borderId="0" xfId="0" applyFont="1"/>
    <xf numFmtId="49" fontId="1" fillId="2" borderId="1" xfId="0" applyNumberFormat="1" applyFont="1" applyFill="1" applyBorder="1"/>
    <xf numFmtId="49" fontId="0" fillId="2" borderId="1" xfId="0" applyNumberFormat="1" applyFill="1" applyBorder="1"/>
    <xf numFmtId="0" fontId="1" fillId="0" borderId="2" xfId="0" applyFont="1" applyBorder="1"/>
    <xf numFmtId="0" fontId="0" fillId="0" borderId="2" xfId="0" applyBorder="1"/>
    <xf numFmtId="0" fontId="0" fillId="10" borderId="2" xfId="0" applyFill="1" applyBorder="1"/>
    <xf numFmtId="0" fontId="0" fillId="0" borderId="2" xfId="0" applyBorder="1" applyAlignment="1">
      <alignment horizontal="right"/>
    </xf>
    <xf numFmtId="49" fontId="1" fillId="0" borderId="2" xfId="0" applyNumberFormat="1" applyFont="1" applyBorder="1" applyAlignment="1">
      <alignment horizontal="right"/>
    </xf>
    <xf numFmtId="49" fontId="0" fillId="0" borderId="2" xfId="0" applyNumberFormat="1" applyBorder="1" applyAlignment="1">
      <alignment horizontal="right"/>
    </xf>
    <xf numFmtId="49" fontId="0" fillId="10" borderId="2" xfId="0" applyNumberFormat="1" applyFill="1" applyBorder="1" applyAlignment="1">
      <alignment horizontal="right"/>
    </xf>
    <xf numFmtId="0" fontId="3" fillId="0" borderId="0" xfId="0" applyFont="1"/>
    <xf numFmtId="0" fontId="1" fillId="0" borderId="2" xfId="0" applyFont="1" applyBorder="1" applyAlignment="1">
      <alignment horizontal="right"/>
    </xf>
    <xf numFmtId="0" fontId="0" fillId="0" borderId="1" xfId="0" applyBorder="1"/>
    <xf numFmtId="0" fontId="4" fillId="0" borderId="1" xfId="0" applyFont="1" applyBorder="1"/>
    <xf numFmtId="0" fontId="0" fillId="0" borderId="3" xfId="0" applyBorder="1"/>
    <xf numFmtId="0" fontId="0" fillId="0" borderId="0" xfId="0" applyBorder="1"/>
    <xf numFmtId="0" fontId="1" fillId="0" borderId="0" xfId="0" applyFont="1" applyBorder="1"/>
    <xf numFmtId="49" fontId="5" fillId="0" borderId="1" xfId="0" applyNumberFormat="1" applyFont="1" applyBorder="1"/>
    <xf numFmtId="0" fontId="1" fillId="12" borderId="1" xfId="0" applyFont="1" applyFill="1" applyBorder="1"/>
    <xf numFmtId="0" fontId="0" fillId="12" borderId="1" xfId="0" applyFill="1" applyBorder="1"/>
    <xf numFmtId="0" fontId="0" fillId="12" borderId="3" xfId="0" applyFill="1" applyBorder="1"/>
    <xf numFmtId="0" fontId="0" fillId="0" borderId="0" xfId="0" applyFill="1" applyBorder="1"/>
    <xf numFmtId="0" fontId="1" fillId="0" borderId="0" xfId="0" applyFont="1" applyFill="1" applyBorder="1"/>
    <xf numFmtId="49" fontId="1" fillId="11" borderId="1" xfId="0" applyNumberFormat="1" applyFont="1" applyFill="1" applyBorder="1"/>
    <xf numFmtId="2" fontId="1" fillId="0" borderId="1" xfId="0" applyNumberFormat="1" applyFont="1" applyBorder="1"/>
    <xf numFmtId="2" fontId="1" fillId="3" borderId="1" xfId="0" applyNumberFormat="1" applyFont="1" applyFill="1" applyBorder="1"/>
    <xf numFmtId="0" fontId="0" fillId="12" borderId="1" xfId="0" applyFont="1" applyFill="1" applyBorder="1"/>
    <xf numFmtId="0" fontId="0" fillId="12" borderId="3" xfId="0" applyFont="1" applyFill="1" applyBorder="1"/>
    <xf numFmtId="0" fontId="0" fillId="0" borderId="1" xfId="0" applyFont="1" applyBorder="1"/>
    <xf numFmtId="2" fontId="0" fillId="0" borderId="0" xfId="0" applyNumberFormat="1" applyBorder="1"/>
    <xf numFmtId="2" fontId="0" fillId="0" borderId="1" xfId="0" applyNumberFormat="1" applyBorder="1"/>
    <xf numFmtId="2" fontId="0" fillId="0" borderId="6" xfId="0" applyNumberFormat="1" applyBorder="1"/>
    <xf numFmtId="2" fontId="0" fillId="0" borderId="8" xfId="0" applyNumberFormat="1" applyBorder="1"/>
    <xf numFmtId="2" fontId="7" fillId="0" borderId="0" xfId="0" applyNumberFormat="1" applyFont="1"/>
    <xf numFmtId="2" fontId="1" fillId="0" borderId="0" xfId="0" applyNumberFormat="1" applyFont="1" applyBorder="1"/>
    <xf numFmtId="2" fontId="1" fillId="3" borderId="3" xfId="0" applyNumberFormat="1" applyFont="1" applyFill="1" applyBorder="1"/>
    <xf numFmtId="2" fontId="1" fillId="0" borderId="3" xfId="0" applyNumberFormat="1" applyFont="1" applyBorder="1"/>
    <xf numFmtId="49" fontId="3" fillId="13" borderId="1" xfId="0" applyNumberFormat="1" applyFont="1" applyFill="1" applyBorder="1"/>
    <xf numFmtId="0" fontId="3" fillId="13" borderId="1" xfId="0" applyFont="1" applyFill="1" applyBorder="1"/>
    <xf numFmtId="21" fontId="3" fillId="13" borderId="1" xfId="0" applyNumberFormat="1" applyFont="1" applyFill="1" applyBorder="1" applyAlignment="1">
      <alignment horizontal="right"/>
    </xf>
    <xf numFmtId="49" fontId="3" fillId="13" borderId="1" xfId="0" applyNumberFormat="1" applyFont="1" applyFill="1" applyBorder="1" applyAlignment="1">
      <alignment horizontal="right"/>
    </xf>
    <xf numFmtId="49" fontId="0" fillId="2" borderId="4" xfId="0" applyNumberFormat="1" applyFill="1" applyBorder="1"/>
    <xf numFmtId="0" fontId="0" fillId="0" borderId="10" xfId="0" applyBorder="1"/>
    <xf numFmtId="0" fontId="3" fillId="13" borderId="6" xfId="0" applyFont="1" applyFill="1" applyBorder="1"/>
    <xf numFmtId="0" fontId="3" fillId="13" borderId="6" xfId="0" applyFont="1" applyFill="1" applyBorder="1" applyAlignment="1">
      <alignment horizontal="right"/>
    </xf>
    <xf numFmtId="49" fontId="3" fillId="13" borderId="6" xfId="0" applyNumberFormat="1" applyFont="1" applyFill="1" applyBorder="1" applyAlignment="1">
      <alignment horizontal="right"/>
    </xf>
    <xf numFmtId="0" fontId="8" fillId="0" borderId="0" xfId="0" applyFont="1"/>
    <xf numFmtId="49" fontId="9" fillId="2" borderId="1" xfId="0" applyNumberFormat="1" applyFont="1" applyFill="1" applyBorder="1"/>
    <xf numFmtId="0" fontId="9" fillId="0" borderId="0" xfId="0" applyFont="1"/>
    <xf numFmtId="0" fontId="9" fillId="0" borderId="2" xfId="0" applyFont="1" applyBorder="1"/>
    <xf numFmtId="21" fontId="9" fillId="0" borderId="2" xfId="0" applyNumberFormat="1" applyFont="1" applyBorder="1" applyAlignment="1">
      <alignment horizontal="right"/>
    </xf>
    <xf numFmtId="49" fontId="9" fillId="0" borderId="2" xfId="0" applyNumberFormat="1" applyFont="1" applyBorder="1" applyAlignment="1">
      <alignment horizontal="right"/>
    </xf>
    <xf numFmtId="0" fontId="9" fillId="10" borderId="2" xfId="0" applyFont="1" applyFill="1" applyBorder="1"/>
    <xf numFmtId="49" fontId="9" fillId="10" borderId="2" xfId="0" applyNumberFormat="1" applyFont="1" applyFill="1" applyBorder="1" applyAlignment="1">
      <alignment horizontal="right"/>
    </xf>
    <xf numFmtId="49" fontId="11" fillId="0" borderId="1" xfId="0" applyNumberFormat="1" applyFont="1" applyBorder="1"/>
    <xf numFmtId="0" fontId="1" fillId="3" borderId="1" xfId="0" applyFont="1" applyFill="1" applyBorder="1"/>
    <xf numFmtId="0" fontId="10" fillId="0" borderId="2" xfId="0" applyFont="1" applyBorder="1"/>
    <xf numFmtId="0" fontId="1" fillId="3" borderId="3" xfId="0" applyFont="1" applyFill="1" applyBorder="1"/>
    <xf numFmtId="49" fontId="1" fillId="0" borderId="0" xfId="0" applyNumberFormat="1" applyFont="1" applyFill="1" applyBorder="1"/>
    <xf numFmtId="49" fontId="1" fillId="2" borderId="6" xfId="0" applyNumberFormat="1" applyFont="1" applyFill="1" applyBorder="1"/>
    <xf numFmtId="2" fontId="6" fillId="3" borderId="1" xfId="0" applyNumberFormat="1" applyFont="1" applyFill="1" applyBorder="1"/>
    <xf numFmtId="2" fontId="6" fillId="3" borderId="3" xfId="0" applyNumberFormat="1" applyFont="1" applyFill="1" applyBorder="1"/>
    <xf numFmtId="2" fontId="6" fillId="3" borderId="9" xfId="0" applyNumberFormat="1" applyFont="1" applyFill="1" applyBorder="1"/>
    <xf numFmtId="2" fontId="0" fillId="0" borderId="6" xfId="0" applyNumberFormat="1" applyFont="1" applyFill="1" applyBorder="1"/>
    <xf numFmtId="2" fontId="1" fillId="0" borderId="0" xfId="0" applyNumberFormat="1" applyFont="1" applyFill="1" applyBorder="1"/>
    <xf numFmtId="2" fontId="0" fillId="0" borderId="5" xfId="0" applyNumberFormat="1" applyBorder="1"/>
    <xf numFmtId="2" fontId="2" fillId="12" borderId="1" xfId="0" applyNumberFormat="1" applyFont="1" applyFill="1" applyBorder="1"/>
    <xf numFmtId="2" fontId="1" fillId="0" borderId="1" xfId="0" applyNumberFormat="1" applyFont="1" applyFill="1" applyBorder="1"/>
    <xf numFmtId="2" fontId="0" fillId="0" borderId="1" xfId="0" applyNumberFormat="1" applyFont="1" applyFill="1" applyBorder="1"/>
    <xf numFmtId="2" fontId="1" fillId="0" borderId="6" xfId="0" applyNumberFormat="1" applyFont="1" applyBorder="1"/>
    <xf numFmtId="2" fontId="1" fillId="0" borderId="7" xfId="0" applyNumberFormat="1" applyFont="1" applyBorder="1"/>
    <xf numFmtId="2" fontId="1" fillId="0" borderId="8" xfId="0" applyNumberFormat="1" applyFont="1" applyBorder="1"/>
    <xf numFmtId="2" fontId="1" fillId="0" borderId="9" xfId="0" applyNumberFormat="1" applyFont="1" applyBorder="1"/>
    <xf numFmtId="2" fontId="0" fillId="0" borderId="11" xfId="0" applyNumberFormat="1" applyBorder="1"/>
    <xf numFmtId="2" fontId="7" fillId="0" borderId="8" xfId="0" applyNumberFormat="1" applyFont="1" applyBorder="1"/>
    <xf numFmtId="2" fontId="6" fillId="3" borderId="6" xfId="0" applyNumberFormat="1" applyFont="1" applyFill="1" applyBorder="1"/>
    <xf numFmtId="2" fontId="0" fillId="0" borderId="11" xfId="0" applyNumberFormat="1" applyFont="1" applyBorder="1"/>
    <xf numFmtId="2" fontId="2" fillId="12" borderId="8" xfId="0" applyNumberFormat="1" applyFont="1" applyFill="1" applyBorder="1"/>
    <xf numFmtId="2" fontId="2" fillId="12" borderId="9" xfId="0" applyNumberFormat="1" applyFont="1" applyFill="1" applyBorder="1"/>
    <xf numFmtId="2" fontId="2" fillId="12" borderId="6" xfId="0" applyNumberFormat="1" applyFont="1" applyFill="1" applyBorder="1"/>
    <xf numFmtId="2" fontId="1" fillId="0" borderId="6" xfId="0" applyNumberFormat="1" applyFont="1" applyFill="1" applyBorder="1"/>
    <xf numFmtId="2" fontId="9" fillId="0" borderId="1" xfId="0" applyNumberFormat="1" applyFont="1" applyBorder="1"/>
    <xf numFmtId="0" fontId="9" fillId="0" borderId="1" xfId="0" applyFont="1" applyBorder="1"/>
    <xf numFmtId="49" fontId="1" fillId="14" borderId="1" xfId="0" applyNumberFormat="1" applyFont="1" applyFill="1" applyBorder="1"/>
    <xf numFmtId="0" fontId="1" fillId="14" borderId="1" xfId="0" applyFont="1" applyFill="1" applyBorder="1"/>
    <xf numFmtId="49" fontId="0" fillId="14" borderId="1" xfId="0" applyNumberFormat="1" applyFill="1" applyBorder="1"/>
    <xf numFmtId="0" fontId="0" fillId="14" borderId="1" xfId="0" applyFill="1" applyBorder="1"/>
    <xf numFmtId="2" fontId="1" fillId="14" borderId="1" xfId="0" applyNumberFormat="1" applyFont="1" applyFill="1" applyBorder="1"/>
    <xf numFmtId="2" fontId="0" fillId="14" borderId="1" xfId="0" applyNumberFormat="1" applyFill="1" applyBorder="1"/>
    <xf numFmtId="0" fontId="0" fillId="0" borderId="11" xfId="0" applyBorder="1"/>
    <xf numFmtId="0" fontId="0" fillId="0" borderId="14" xfId="0" applyBorder="1"/>
    <xf numFmtId="0" fontId="0" fillId="0" borderId="12" xfId="0" applyBorder="1"/>
    <xf numFmtId="0" fontId="0" fillId="8" borderId="12" xfId="0" applyFill="1" applyBorder="1"/>
    <xf numFmtId="0" fontId="0" fillId="7" borderId="5" xfId="0" applyFill="1" applyBorder="1"/>
    <xf numFmtId="0" fontId="0" fillId="7" borderId="10" xfId="0" applyFill="1" applyBorder="1"/>
    <xf numFmtId="0" fontId="0" fillId="8" borderId="5" xfId="0" applyFill="1" applyBorder="1"/>
    <xf numFmtId="0" fontId="0" fillId="8" borderId="0" xfId="0" applyFill="1" applyBorder="1"/>
    <xf numFmtId="49" fontId="9" fillId="0" borderId="0" xfId="0" applyNumberFormat="1" applyFont="1" applyFill="1" applyBorder="1"/>
    <xf numFmtId="14" fontId="9" fillId="0" borderId="0" xfId="0" applyNumberFormat="1" applyFont="1" applyFill="1" applyBorder="1"/>
    <xf numFmtId="0" fontId="9" fillId="0" borderId="11" xfId="0" applyFont="1" applyFill="1" applyBorder="1"/>
    <xf numFmtId="0" fontId="9" fillId="0" borderId="0" xfId="0" applyFont="1" applyFill="1" applyBorder="1"/>
    <xf numFmtId="2" fontId="9" fillId="0" borderId="0" xfId="0" applyNumberFormat="1" applyFont="1" applyFill="1" applyBorder="1" applyAlignment="1">
      <alignment horizontal="right"/>
    </xf>
    <xf numFmtId="2" fontId="9" fillId="0" borderId="14" xfId="0" applyNumberFormat="1" applyFont="1" applyFill="1" applyBorder="1"/>
    <xf numFmtId="49" fontId="9" fillId="0" borderId="2" xfId="0" applyNumberFormat="1" applyFont="1" applyFill="1" applyBorder="1" applyAlignment="1">
      <alignment horizontal="center"/>
    </xf>
    <xf numFmtId="0" fontId="9" fillId="0" borderId="2" xfId="0" applyFont="1" applyFill="1" applyBorder="1"/>
    <xf numFmtId="0" fontId="9" fillId="0" borderId="14" xfId="0" applyFont="1" applyFill="1" applyBorder="1"/>
    <xf numFmtId="2" fontId="0" fillId="0" borderId="14" xfId="0" applyNumberFormat="1" applyBorder="1"/>
    <xf numFmtId="49" fontId="0" fillId="0" borderId="0" xfId="0" applyNumberFormat="1" applyBorder="1"/>
    <xf numFmtId="2" fontId="9" fillId="0" borderId="0" xfId="0" applyNumberFormat="1" applyFont="1" applyFill="1" applyBorder="1"/>
    <xf numFmtId="0" fontId="0" fillId="16" borderId="4" xfId="0" applyFill="1" applyBorder="1"/>
    <xf numFmtId="0" fontId="0" fillId="0" borderId="2" xfId="0" applyFont="1" applyBorder="1"/>
    <xf numFmtId="0" fontId="0" fillId="0" borderId="0" xfId="0" applyFont="1" applyBorder="1"/>
    <xf numFmtId="0" fontId="0" fillId="0" borderId="11" xfId="0" applyFont="1" applyBorder="1"/>
    <xf numFmtId="2" fontId="0" fillId="0" borderId="14" xfId="0" applyNumberFormat="1" applyFont="1" applyBorder="1"/>
    <xf numFmtId="49" fontId="0" fillId="0" borderId="0" xfId="0" applyNumberFormat="1" applyFont="1" applyBorder="1"/>
    <xf numFmtId="2" fontId="0" fillId="0" borderId="0" xfId="0" applyNumberFormat="1" applyFont="1" applyBorder="1"/>
    <xf numFmtId="2" fontId="0" fillId="0" borderId="0" xfId="0" applyNumberFormat="1" applyFont="1" applyFill="1" applyBorder="1"/>
    <xf numFmtId="0" fontId="0" fillId="0" borderId="0" xfId="0" applyFont="1"/>
    <xf numFmtId="2" fontId="0" fillId="18" borderId="7" xfId="0" applyNumberFormat="1" applyFill="1" applyBorder="1"/>
    <xf numFmtId="2" fontId="0" fillId="18" borderId="9" xfId="0" applyNumberFormat="1" applyFill="1" applyBorder="1"/>
    <xf numFmtId="2" fontId="0" fillId="18" borderId="15" xfId="0" applyNumberFormat="1" applyFill="1" applyBorder="1"/>
    <xf numFmtId="2" fontId="9" fillId="0" borderId="11" xfId="0" applyNumberFormat="1" applyFont="1" applyFill="1" applyBorder="1"/>
    <xf numFmtId="0" fontId="10" fillId="0" borderId="0" xfId="0" applyFont="1" applyFill="1" applyBorder="1"/>
    <xf numFmtId="0" fontId="0" fillId="14" borderId="2" xfId="0" applyFont="1" applyFill="1" applyBorder="1"/>
    <xf numFmtId="0" fontId="0" fillId="14" borderId="0" xfId="0" applyFont="1" applyFill="1" applyBorder="1"/>
    <xf numFmtId="14" fontId="9" fillId="14" borderId="0" xfId="0" applyNumberFormat="1" applyFont="1" applyFill="1" applyBorder="1"/>
    <xf numFmtId="0" fontId="0" fillId="14" borderId="11" xfId="0" applyFont="1" applyFill="1" applyBorder="1"/>
    <xf numFmtId="0" fontId="0" fillId="14" borderId="14" xfId="0" applyFont="1" applyFill="1" applyBorder="1"/>
    <xf numFmtId="0" fontId="9" fillId="14" borderId="0" xfId="0" applyFont="1" applyFill="1" applyBorder="1"/>
    <xf numFmtId="2" fontId="9" fillId="14" borderId="0" xfId="0" applyNumberFormat="1" applyFont="1" applyFill="1" applyBorder="1" applyAlignment="1">
      <alignment horizontal="right"/>
    </xf>
    <xf numFmtId="2" fontId="0" fillId="0" borderId="11" xfId="0" applyNumberFormat="1" applyFont="1" applyFill="1" applyBorder="1"/>
    <xf numFmtId="0" fontId="0" fillId="4" borderId="15" xfId="0" applyFill="1" applyBorder="1"/>
    <xf numFmtId="0" fontId="0" fillId="0" borderId="15" xfId="0" applyBorder="1"/>
    <xf numFmtId="0" fontId="0" fillId="17" borderId="15" xfId="0" applyFill="1" applyBorder="1"/>
    <xf numFmtId="0" fontId="0" fillId="6" borderId="6" xfId="0" applyFill="1" applyBorder="1"/>
    <xf numFmtId="0" fontId="0" fillId="16" borderId="6" xfId="0" applyFill="1" applyBorder="1"/>
    <xf numFmtId="0" fontId="0" fillId="7" borderId="7" xfId="0" applyFill="1" applyBorder="1"/>
    <xf numFmtId="0" fontId="0" fillId="7" borderId="15" xfId="0" applyFill="1" applyBorder="1"/>
    <xf numFmtId="0" fontId="0" fillId="8" borderId="6" xfId="0" applyFill="1" applyBorder="1"/>
    <xf numFmtId="0" fontId="0" fillId="8" borderId="11" xfId="0" applyFill="1" applyBorder="1"/>
    <xf numFmtId="0" fontId="0" fillId="8" borderId="7" xfId="0" applyFill="1" applyBorder="1"/>
    <xf numFmtId="2" fontId="0" fillId="8" borderId="9" xfId="0" applyNumberFormat="1" applyFill="1" applyBorder="1"/>
    <xf numFmtId="2" fontId="0" fillId="8" borderId="15" xfId="0" applyNumberFormat="1" applyFill="1" applyBorder="1"/>
    <xf numFmtId="49" fontId="0" fillId="18" borderId="15" xfId="0" applyNumberFormat="1" applyFill="1" applyBorder="1"/>
    <xf numFmtId="0" fontId="10" fillId="10" borderId="2" xfId="0" applyFont="1" applyFill="1" applyBorder="1"/>
    <xf numFmtId="0" fontId="0" fillId="0" borderId="0" xfId="0" applyNumberFormat="1" applyFill="1" applyBorder="1" applyAlignment="1">
      <alignment horizontal="right"/>
    </xf>
    <xf numFmtId="0" fontId="0" fillId="0" borderId="14" xfId="0" applyFont="1" applyBorder="1"/>
    <xf numFmtId="0" fontId="0" fillId="0" borderId="14" xfId="0" applyFill="1" applyBorder="1"/>
    <xf numFmtId="0" fontId="14" fillId="10" borderId="2" xfId="0" applyFont="1" applyFill="1" applyBorder="1"/>
    <xf numFmtId="0" fontId="9" fillId="14" borderId="11" xfId="0" applyFont="1" applyFill="1" applyBorder="1"/>
    <xf numFmtId="0" fontId="0" fillId="0" borderId="11" xfId="0" applyFill="1" applyBorder="1"/>
    <xf numFmtId="14" fontId="0" fillId="0" borderId="0" xfId="0" applyNumberFormat="1" applyBorder="1"/>
    <xf numFmtId="0" fontId="0" fillId="0" borderId="2" xfId="0" applyFill="1" applyBorder="1"/>
    <xf numFmtId="0" fontId="0" fillId="0" borderId="10" xfId="0" applyBorder="1" applyAlignment="1">
      <alignment horizontal="center"/>
    </xf>
    <xf numFmtId="0" fontId="0" fillId="0" borderId="15" xfId="0" applyBorder="1" applyAlignment="1">
      <alignment horizontal="center"/>
    </xf>
    <xf numFmtId="0" fontId="0" fillId="3" borderId="6" xfId="0" applyFill="1" applyBorder="1" applyAlignment="1">
      <alignment horizontal="center"/>
    </xf>
    <xf numFmtId="0" fontId="0" fillId="14" borderId="2" xfId="0" applyFont="1" applyFill="1" applyBorder="1" applyAlignment="1">
      <alignment horizontal="center"/>
    </xf>
    <xf numFmtId="0" fontId="0" fillId="0" borderId="2" xfId="0" applyBorder="1" applyAlignment="1">
      <alignment horizontal="center"/>
    </xf>
    <xf numFmtId="14" fontId="9" fillId="0" borderId="11" xfId="0" applyNumberFormat="1" applyFont="1" applyBorder="1"/>
    <xf numFmtId="14" fontId="9" fillId="0" borderId="0" xfId="0" applyNumberFormat="1" applyFont="1" applyBorder="1"/>
    <xf numFmtId="164" fontId="9" fillId="0" borderId="14" xfId="0" applyNumberFormat="1" applyFont="1" applyBorder="1"/>
    <xf numFmtId="0" fontId="0" fillId="8" borderId="15" xfId="0" applyFill="1" applyBorder="1"/>
    <xf numFmtId="0" fontId="0" fillId="14" borderId="2" xfId="0" applyFill="1" applyBorder="1" applyAlignment="1">
      <alignment horizontal="center"/>
    </xf>
    <xf numFmtId="0" fontId="0" fillId="14" borderId="0" xfId="0" applyFill="1" applyBorder="1"/>
    <xf numFmtId="0" fontId="0" fillId="14" borderId="11" xfId="0" applyFill="1" applyBorder="1"/>
    <xf numFmtId="14" fontId="9" fillId="14" borderId="11" xfId="0" applyNumberFormat="1" applyFont="1" applyFill="1" applyBorder="1"/>
    <xf numFmtId="14" fontId="0" fillId="14" borderId="0" xfId="0" applyNumberFormat="1" applyFill="1" applyBorder="1"/>
    <xf numFmtId="0" fontId="0" fillId="14" borderId="2" xfId="0" applyFill="1" applyBorder="1"/>
    <xf numFmtId="49" fontId="0" fillId="14" borderId="0" xfId="0" applyNumberFormat="1" applyFill="1" applyBorder="1"/>
    <xf numFmtId="0" fontId="0" fillId="14" borderId="0" xfId="0" applyFill="1"/>
    <xf numFmtId="2" fontId="0" fillId="7" borderId="10" xfId="0" applyNumberFormat="1" applyFill="1" applyBorder="1"/>
    <xf numFmtId="2" fontId="0" fillId="7" borderId="15" xfId="0" applyNumberFormat="1" applyFill="1" applyBorder="1"/>
    <xf numFmtId="0" fontId="0" fillId="7" borderId="9" xfId="0" applyFill="1" applyBorder="1"/>
    <xf numFmtId="0" fontId="0" fillId="7" borderId="0" xfId="0" applyFill="1" applyBorder="1"/>
    <xf numFmtId="0" fontId="0" fillId="0" borderId="0" xfId="0" applyNumberFormat="1" applyBorder="1" applyAlignment="1">
      <alignment horizontal="right"/>
    </xf>
    <xf numFmtId="0" fontId="0" fillId="8" borderId="1" xfId="0" applyFill="1" applyBorder="1"/>
    <xf numFmtId="2" fontId="0" fillId="8" borderId="0" xfId="0" applyNumberFormat="1" applyFill="1" applyBorder="1"/>
    <xf numFmtId="2" fontId="0" fillId="8" borderId="1" xfId="0" applyNumberFormat="1" applyFill="1" applyBorder="1"/>
    <xf numFmtId="2" fontId="0" fillId="14" borderId="0" xfId="0" applyNumberFormat="1" applyFont="1" applyFill="1" applyBorder="1"/>
    <xf numFmtId="0" fontId="0" fillId="0" borderId="15" xfId="0" applyFill="1" applyBorder="1"/>
    <xf numFmtId="2" fontId="0" fillId="20" borderId="10" xfId="0" applyNumberFormat="1" applyFill="1" applyBorder="1"/>
    <xf numFmtId="2" fontId="0" fillId="20" borderId="5" xfId="0" applyNumberFormat="1" applyFill="1" applyBorder="1"/>
    <xf numFmtId="2" fontId="0" fillId="20" borderId="13" xfId="0" applyNumberFormat="1" applyFill="1" applyBorder="1"/>
    <xf numFmtId="49" fontId="0" fillId="20" borderId="15" xfId="0" applyNumberFormat="1" applyFill="1" applyBorder="1"/>
    <xf numFmtId="2" fontId="0" fillId="20" borderId="7" xfId="0" applyNumberFormat="1" applyFill="1" applyBorder="1"/>
    <xf numFmtId="2" fontId="0" fillId="20" borderId="9" xfId="0" applyNumberFormat="1" applyFill="1" applyBorder="1"/>
    <xf numFmtId="2" fontId="0" fillId="20" borderId="15" xfId="0" applyNumberFormat="1" applyFill="1" applyBorder="1"/>
    <xf numFmtId="0" fontId="10" fillId="0" borderId="0" xfId="0" applyFont="1" applyBorder="1"/>
    <xf numFmtId="49" fontId="1" fillId="14" borderId="6" xfId="0" applyNumberFormat="1" applyFont="1" applyFill="1" applyBorder="1"/>
    <xf numFmtId="0" fontId="1" fillId="14" borderId="6" xfId="0" applyFont="1" applyFill="1" applyBorder="1"/>
    <xf numFmtId="2" fontId="0" fillId="0" borderId="0" xfId="0" applyNumberFormat="1" applyFill="1" applyBorder="1"/>
    <xf numFmtId="14" fontId="0" fillId="0" borderId="0" xfId="0" applyNumberFormat="1"/>
    <xf numFmtId="2" fontId="0" fillId="0" borderId="0" xfId="0" applyNumberFormat="1"/>
    <xf numFmtId="164" fontId="0" fillId="0" borderId="0" xfId="0" applyNumberFormat="1"/>
    <xf numFmtId="0" fontId="0" fillId="21" borderId="1" xfId="0" applyFill="1" applyBorder="1"/>
    <xf numFmtId="0" fontId="0" fillId="0" borderId="1" xfId="0" applyFill="1" applyBorder="1"/>
    <xf numFmtId="0" fontId="0" fillId="0" borderId="0" xfId="0" applyFill="1"/>
    <xf numFmtId="164" fontId="0" fillId="0" borderId="0" xfId="0" applyNumberFormat="1" applyFill="1"/>
    <xf numFmtId="0" fontId="0" fillId="0" borderId="1" xfId="0" applyFill="1" applyBorder="1" applyAlignment="1">
      <alignment horizontal="center"/>
    </xf>
    <xf numFmtId="2" fontId="0" fillId="15" borderId="11" xfId="0" applyNumberFormat="1" applyFill="1" applyBorder="1"/>
    <xf numFmtId="2" fontId="0" fillId="15" borderId="0" xfId="0" applyNumberFormat="1" applyFill="1" applyBorder="1"/>
    <xf numFmtId="2" fontId="0" fillId="15" borderId="14" xfId="0" applyNumberFormat="1" applyFill="1" applyBorder="1"/>
    <xf numFmtId="49" fontId="1" fillId="13" borderId="1" xfId="0" applyNumberFormat="1" applyFont="1" applyFill="1" applyBorder="1"/>
    <xf numFmtId="2" fontId="1" fillId="13" borderId="1" xfId="0" applyNumberFormat="1" applyFont="1" applyFill="1" applyBorder="1"/>
    <xf numFmtId="2" fontId="1" fillId="13" borderId="3" xfId="0" applyNumberFormat="1" applyFont="1" applyFill="1" applyBorder="1"/>
    <xf numFmtId="2" fontId="0" fillId="13" borderId="11" xfId="0" applyNumberFormat="1" applyFill="1" applyBorder="1"/>
    <xf numFmtId="2" fontId="0" fillId="13" borderId="1" xfId="0" applyNumberFormat="1" applyFill="1" applyBorder="1"/>
    <xf numFmtId="2" fontId="0" fillId="13" borderId="8" xfId="0" applyNumberFormat="1" applyFill="1" applyBorder="1"/>
    <xf numFmtId="2" fontId="1" fillId="13" borderId="8" xfId="0" applyNumberFormat="1" applyFont="1" applyFill="1" applyBorder="1"/>
    <xf numFmtId="0" fontId="0" fillId="13" borderId="0" xfId="0" applyFill="1" applyBorder="1"/>
    <xf numFmtId="0" fontId="0" fillId="13" borderId="0" xfId="0" applyFill="1"/>
    <xf numFmtId="0" fontId="1" fillId="14" borderId="3" xfId="0" applyFont="1" applyFill="1" applyBorder="1"/>
    <xf numFmtId="0" fontId="1" fillId="14" borderId="7" xfId="0" applyFont="1" applyFill="1" applyBorder="1"/>
    <xf numFmtId="0" fontId="1" fillId="14" borderId="8" xfId="0" applyFont="1" applyFill="1" applyBorder="1"/>
    <xf numFmtId="0" fontId="0" fillId="14" borderId="8" xfId="0" applyFill="1" applyBorder="1"/>
    <xf numFmtId="2" fontId="1" fillId="0" borderId="11" xfId="0" applyNumberFormat="1" applyFont="1" applyBorder="1"/>
    <xf numFmtId="2" fontId="1" fillId="0" borderId="5" xfId="0" applyNumberFormat="1" applyFont="1" applyBorder="1"/>
    <xf numFmtId="2" fontId="1" fillId="15" borderId="7" xfId="0" applyNumberFormat="1" applyFont="1" applyFill="1" applyBorder="1"/>
    <xf numFmtId="2" fontId="1" fillId="19" borderId="1" xfId="0" applyNumberFormat="1" applyFont="1" applyFill="1" applyBorder="1"/>
    <xf numFmtId="2" fontId="2" fillId="14" borderId="0" xfId="0" applyNumberFormat="1" applyFont="1" applyFill="1" applyBorder="1"/>
    <xf numFmtId="2" fontId="2" fillId="0" borderId="0" xfId="0" applyNumberFormat="1" applyFont="1" applyFill="1" applyBorder="1"/>
    <xf numFmtId="2" fontId="1" fillId="14" borderId="11" xfId="0" applyNumberFormat="1" applyFont="1" applyFill="1" applyBorder="1"/>
    <xf numFmtId="0" fontId="10" fillId="0" borderId="1" xfId="0" applyFont="1" applyBorder="1"/>
    <xf numFmtId="2" fontId="18" fillId="0" borderId="1" xfId="0" applyNumberFormat="1" applyFont="1" applyBorder="1"/>
    <xf numFmtId="0" fontId="0" fillId="15" borderId="11" xfId="0" applyFill="1" applyBorder="1"/>
    <xf numFmtId="164" fontId="0" fillId="0" borderId="0" xfId="0" applyNumberFormat="1" applyBorder="1"/>
    <xf numFmtId="14" fontId="0" fillId="0" borderId="0" xfId="0" applyNumberFormat="1" applyFill="1" applyBorder="1"/>
    <xf numFmtId="0" fontId="10" fillId="14" borderId="11" xfId="0" applyFont="1" applyFill="1" applyBorder="1"/>
    <xf numFmtId="0" fontId="10" fillId="14" borderId="0" xfId="0" applyFont="1" applyFill="1" applyBorder="1"/>
    <xf numFmtId="0" fontId="10" fillId="14" borderId="14" xfId="0" applyFont="1" applyFill="1" applyBorder="1"/>
    <xf numFmtId="0" fontId="0" fillId="0" borderId="0" xfId="0" applyFill="1" applyBorder="1" applyAlignment="1">
      <alignment horizontal="left"/>
    </xf>
    <xf numFmtId="0" fontId="0" fillId="14" borderId="0" xfId="0" applyFont="1" applyFill="1" applyBorder="1" applyAlignment="1">
      <alignment horizontal="right"/>
    </xf>
    <xf numFmtId="14" fontId="9" fillId="0" borderId="0" xfId="0" applyNumberFormat="1" applyFont="1" applyFill="1" applyBorder="1" applyAlignment="1">
      <alignment horizontal="right"/>
    </xf>
    <xf numFmtId="2" fontId="0" fillId="13" borderId="1" xfId="0" applyNumberFormat="1" applyFont="1" applyFill="1" applyBorder="1"/>
    <xf numFmtId="2" fontId="9" fillId="12" borderId="1" xfId="0" applyNumberFormat="1" applyFont="1" applyFill="1" applyBorder="1"/>
    <xf numFmtId="2" fontId="2" fillId="0" borderId="1" xfId="0" applyNumberFormat="1" applyFont="1" applyBorder="1"/>
    <xf numFmtId="2" fontId="2" fillId="0" borderId="1" xfId="0" applyNumberFormat="1" applyFont="1" applyFill="1" applyBorder="1"/>
    <xf numFmtId="49" fontId="10" fillId="0" borderId="2" xfId="0" applyNumberFormat="1" applyFont="1" applyBorder="1" applyAlignment="1">
      <alignment horizontal="right"/>
    </xf>
    <xf numFmtId="2" fontId="0" fillId="0" borderId="1" xfId="0" applyNumberFormat="1" applyFont="1" applyBorder="1"/>
    <xf numFmtId="2" fontId="9" fillId="12" borderId="8" xfId="0" applyNumberFormat="1" applyFont="1" applyFill="1" applyBorder="1"/>
    <xf numFmtId="2" fontId="10" fillId="14" borderId="0" xfId="0" applyNumberFormat="1" applyFont="1" applyFill="1" applyBorder="1"/>
    <xf numFmtId="2" fontId="10" fillId="14" borderId="11" xfId="0" applyNumberFormat="1" applyFont="1" applyFill="1" applyBorder="1"/>
    <xf numFmtId="2" fontId="10" fillId="14" borderId="14" xfId="0" applyNumberFormat="1" applyFont="1" applyFill="1" applyBorder="1"/>
    <xf numFmtId="0" fontId="0" fillId="14" borderId="0" xfId="0" applyFont="1" applyFill="1" applyBorder="1" applyAlignment="1">
      <alignment horizontal="center"/>
    </xf>
    <xf numFmtId="0" fontId="0" fillId="0" borderId="0" xfId="0" applyFont="1" applyAlignment="1">
      <alignment horizontal="center"/>
    </xf>
    <xf numFmtId="0" fontId="9" fillId="0" borderId="0" xfId="0" applyFont="1" applyFill="1" applyBorder="1" applyAlignment="1">
      <alignment horizontal="center"/>
    </xf>
    <xf numFmtId="0" fontId="0" fillId="0" borderId="0" xfId="0" applyAlignment="1">
      <alignment horizontal="center"/>
    </xf>
    <xf numFmtId="0" fontId="0" fillId="14" borderId="0" xfId="0" applyFill="1" applyAlignment="1">
      <alignment horizontal="center"/>
    </xf>
    <xf numFmtId="0" fontId="0" fillId="3" borderId="4" xfId="0" applyFill="1" applyBorder="1" applyAlignment="1">
      <alignment horizontal="center"/>
    </xf>
    <xf numFmtId="0" fontId="0" fillId="3" borderId="12" xfId="0" applyFill="1" applyBorder="1" applyAlignment="1">
      <alignment horizontal="center"/>
    </xf>
    <xf numFmtId="0" fontId="0" fillId="0" borderId="0" xfId="0" applyFill="1" applyAlignment="1">
      <alignment horizontal="center"/>
    </xf>
    <xf numFmtId="0" fontId="0" fillId="0" borderId="0" xfId="0" applyFill="1" applyBorder="1" applyAlignment="1">
      <alignment horizontal="center"/>
    </xf>
    <xf numFmtId="0" fontId="9" fillId="24" borderId="0" xfId="0" applyFont="1" applyFill="1" applyBorder="1"/>
    <xf numFmtId="0" fontId="9" fillId="24" borderId="14" xfId="0" applyFont="1" applyFill="1" applyBorder="1"/>
    <xf numFmtId="0" fontId="9" fillId="24" borderId="12" xfId="0" applyFont="1" applyFill="1" applyBorder="1" applyAlignment="1">
      <alignment horizontal="left"/>
    </xf>
    <xf numFmtId="0" fontId="9" fillId="24" borderId="8" xfId="0" applyFont="1" applyFill="1" applyBorder="1" applyAlignment="1">
      <alignment horizontal="left"/>
    </xf>
    <xf numFmtId="49" fontId="10" fillId="10" borderId="2" xfId="0" applyNumberFormat="1" applyFont="1" applyFill="1" applyBorder="1" applyAlignment="1">
      <alignment horizontal="right"/>
    </xf>
    <xf numFmtId="49" fontId="1" fillId="2" borderId="4" xfId="0" applyNumberFormat="1" applyFont="1" applyFill="1" applyBorder="1"/>
    <xf numFmtId="2" fontId="0" fillId="0" borderId="4" xfId="0" applyNumberFormat="1" applyFont="1" applyFill="1" applyBorder="1"/>
    <xf numFmtId="2" fontId="1" fillId="0" borderId="4" xfId="0" applyNumberFormat="1" applyFont="1" applyFill="1" applyBorder="1"/>
    <xf numFmtId="2" fontId="1" fillId="0" borderId="4" xfId="0" applyNumberFormat="1" applyFont="1" applyBorder="1"/>
    <xf numFmtId="2" fontId="0" fillId="0" borderId="4" xfId="0" applyNumberFormat="1" applyBorder="1"/>
    <xf numFmtId="2" fontId="0" fillId="0" borderId="4" xfId="0" applyNumberFormat="1" applyFont="1" applyBorder="1"/>
    <xf numFmtId="2" fontId="0" fillId="0" borderId="13" xfId="0" applyNumberFormat="1" applyBorder="1"/>
    <xf numFmtId="2" fontId="1" fillId="0" borderId="13" xfId="0" applyNumberFormat="1" applyFont="1" applyBorder="1"/>
    <xf numFmtId="2" fontId="0" fillId="0" borderId="6" xfId="0" applyNumberFormat="1" applyFont="1" applyBorder="1"/>
    <xf numFmtId="2" fontId="0" fillId="0" borderId="9" xfId="0" applyNumberFormat="1" applyBorder="1"/>
    <xf numFmtId="49" fontId="1" fillId="25" borderId="18" xfId="0" applyNumberFormat="1" applyFont="1" applyFill="1" applyBorder="1"/>
    <xf numFmtId="2" fontId="0" fillId="25" borderId="18" xfId="0" applyNumberFormat="1" applyFont="1" applyFill="1" applyBorder="1"/>
    <xf numFmtId="2" fontId="1" fillId="25" borderId="18" xfId="0" applyNumberFormat="1" applyFont="1" applyFill="1" applyBorder="1"/>
    <xf numFmtId="2" fontId="1" fillId="25" borderId="19" xfId="0" applyNumberFormat="1" applyFont="1" applyFill="1" applyBorder="1"/>
    <xf numFmtId="2" fontId="0" fillId="25" borderId="19" xfId="0" applyNumberFormat="1" applyFill="1" applyBorder="1"/>
    <xf numFmtId="2" fontId="0" fillId="25" borderId="18" xfId="0" applyNumberFormat="1" applyFill="1" applyBorder="1"/>
    <xf numFmtId="2" fontId="0" fillId="25" borderId="20" xfId="0" applyNumberFormat="1" applyFill="1" applyBorder="1"/>
    <xf numFmtId="2" fontId="1" fillId="25" borderId="20" xfId="0" applyNumberFormat="1" applyFont="1" applyFill="1" applyBorder="1"/>
    <xf numFmtId="0" fontId="0" fillId="25" borderId="21" xfId="0" applyFill="1" applyBorder="1"/>
    <xf numFmtId="0" fontId="9" fillId="24" borderId="0" xfId="0" applyNumberFormat="1" applyFont="1" applyFill="1" applyBorder="1" applyAlignment="1">
      <alignment horizontal="right"/>
    </xf>
    <xf numFmtId="0" fontId="9" fillId="24" borderId="12" xfId="0" applyNumberFormat="1" applyFont="1" applyFill="1" applyBorder="1" applyAlignment="1">
      <alignment horizontal="right"/>
    </xf>
    <xf numFmtId="0" fontId="0" fillId="0" borderId="15" xfId="0" applyNumberFormat="1" applyFill="1" applyBorder="1" applyAlignment="1">
      <alignment horizontal="right"/>
    </xf>
    <xf numFmtId="2" fontId="0" fillId="0" borderId="11" xfId="0" applyNumberFormat="1" applyBorder="1" applyAlignment="1">
      <alignment horizontal="right"/>
    </xf>
    <xf numFmtId="2" fontId="9" fillId="24" borderId="11" xfId="0" applyNumberFormat="1" applyFont="1" applyFill="1" applyBorder="1" applyAlignment="1">
      <alignment horizontal="right"/>
    </xf>
    <xf numFmtId="14" fontId="19" fillId="14" borderId="0" xfId="1" applyNumberFormat="1" applyFont="1" applyFill="1" applyBorder="1" applyAlignment="1">
      <alignment horizontal="left" wrapText="1"/>
    </xf>
    <xf numFmtId="14" fontId="19" fillId="0" borderId="0" xfId="1" applyNumberFormat="1" applyFont="1" applyFill="1" applyBorder="1" applyAlignment="1">
      <alignment horizontal="left" wrapText="1"/>
    </xf>
    <xf numFmtId="2" fontId="0" fillId="7" borderId="15" xfId="0" applyNumberFormat="1" applyFill="1" applyBorder="1" applyAlignment="1">
      <alignment horizontal="center"/>
    </xf>
    <xf numFmtId="0" fontId="0" fillId="7" borderId="15" xfId="0" applyFill="1" applyBorder="1" applyAlignment="1">
      <alignment horizontal="center"/>
    </xf>
    <xf numFmtId="2" fontId="10" fillId="14" borderId="0" xfId="0" applyNumberFormat="1" applyFont="1" applyFill="1" applyBorder="1" applyAlignment="1">
      <alignment horizontal="right"/>
    </xf>
    <xf numFmtId="2" fontId="0" fillId="0" borderId="0" xfId="0" applyNumberFormat="1" applyBorder="1" applyAlignment="1">
      <alignment horizontal="right"/>
    </xf>
    <xf numFmtId="2" fontId="9" fillId="0" borderId="2" xfId="0" applyNumberFormat="1" applyFont="1" applyBorder="1" applyAlignment="1">
      <alignment horizontal="right"/>
    </xf>
    <xf numFmtId="2" fontId="9" fillId="10" borderId="2" xfId="0" applyNumberFormat="1" applyFont="1" applyFill="1" applyBorder="1" applyAlignment="1">
      <alignment horizontal="right"/>
    </xf>
    <xf numFmtId="2" fontId="0" fillId="10" borderId="2" xfId="0" applyNumberFormat="1" applyFill="1" applyBorder="1" applyAlignment="1">
      <alignment horizontal="right"/>
    </xf>
    <xf numFmtId="2" fontId="10" fillId="0" borderId="2" xfId="0" applyNumberFormat="1" applyFont="1" applyBorder="1" applyAlignment="1">
      <alignment horizontal="right"/>
    </xf>
    <xf numFmtId="2" fontId="0" fillId="0" borderId="2" xfId="0" applyNumberFormat="1" applyBorder="1" applyAlignment="1">
      <alignment horizontal="right"/>
    </xf>
    <xf numFmtId="2" fontId="10" fillId="10" borderId="2" xfId="0" applyNumberFormat="1" applyFont="1" applyFill="1" applyBorder="1" applyAlignment="1">
      <alignment horizontal="right"/>
    </xf>
    <xf numFmtId="49" fontId="0" fillId="2" borderId="6" xfId="0" applyNumberFormat="1" applyFill="1" applyBorder="1"/>
    <xf numFmtId="0" fontId="0" fillId="2" borderId="12" xfId="0" applyFill="1" applyBorder="1"/>
    <xf numFmtId="0" fontId="0" fillId="2" borderId="1" xfId="0" applyFill="1" applyBorder="1"/>
    <xf numFmtId="49" fontId="0" fillId="2" borderId="1" xfId="0" applyNumberFormat="1" applyFill="1" applyBorder="1" applyAlignment="1">
      <alignment horizontal="right"/>
    </xf>
    <xf numFmtId="2" fontId="1" fillId="7" borderId="2" xfId="0" applyNumberFormat="1" applyFont="1" applyFill="1" applyBorder="1" applyAlignment="1">
      <alignment horizontal="center"/>
    </xf>
    <xf numFmtId="2" fontId="1" fillId="0" borderId="2" xfId="0" applyNumberFormat="1" applyFont="1" applyBorder="1" applyAlignment="1">
      <alignment horizontal="right"/>
    </xf>
    <xf numFmtId="2" fontId="3" fillId="13" borderId="6" xfId="0" applyNumberFormat="1" applyFont="1" applyFill="1" applyBorder="1" applyAlignment="1">
      <alignment horizontal="right"/>
    </xf>
    <xf numFmtId="2" fontId="3" fillId="13" borderId="1" xfId="0" applyNumberFormat="1" applyFont="1" applyFill="1" applyBorder="1" applyAlignment="1">
      <alignment horizontal="right"/>
    </xf>
    <xf numFmtId="2" fontId="0" fillId="2" borderId="1" xfId="0" applyNumberFormat="1" applyFill="1" applyBorder="1" applyAlignment="1">
      <alignment horizontal="right"/>
    </xf>
    <xf numFmtId="0" fontId="0" fillId="3" borderId="11" xfId="0" applyFill="1" applyBorder="1" applyAlignment="1">
      <alignment horizontal="center"/>
    </xf>
    <xf numFmtId="0" fontId="0" fillId="3" borderId="5" xfId="0" applyFill="1" applyBorder="1" applyAlignment="1">
      <alignment horizontal="center"/>
    </xf>
    <xf numFmtId="0" fontId="0" fillId="3" borderId="7" xfId="0" applyFill="1" applyBorder="1" applyAlignment="1">
      <alignment horizontal="center"/>
    </xf>
    <xf numFmtId="0" fontId="10" fillId="0" borderId="0" xfId="0" applyFont="1" applyAlignment="1">
      <alignment horizontal="center"/>
    </xf>
    <xf numFmtId="0" fontId="10" fillId="0" borderId="0" xfId="0" applyFont="1" applyFill="1" applyBorder="1" applyAlignment="1">
      <alignment horizontal="center"/>
    </xf>
    <xf numFmtId="0" fontId="10" fillId="14" borderId="0" xfId="0" applyFont="1" applyFill="1" applyAlignment="1">
      <alignment horizontal="center"/>
    </xf>
    <xf numFmtId="0" fontId="10" fillId="0" borderId="0" xfId="0" applyFont="1" applyFill="1" applyAlignment="1">
      <alignment horizontal="center"/>
    </xf>
    <xf numFmtId="0" fontId="0" fillId="0" borderId="0" xfId="0" applyAlignment="1">
      <alignment horizontal="center"/>
    </xf>
    <xf numFmtId="0" fontId="10" fillId="0" borderId="0" xfId="0" applyFont="1" applyAlignment="1">
      <alignment horizontal="center"/>
    </xf>
    <xf numFmtId="0" fontId="10" fillId="0" borderId="0" xfId="0" applyFont="1" applyFill="1" applyBorder="1" applyAlignment="1">
      <alignment horizontal="center"/>
    </xf>
    <xf numFmtId="0" fontId="10" fillId="14" borderId="0" xfId="0" applyFont="1" applyFill="1" applyAlignment="1">
      <alignment horizontal="center"/>
    </xf>
    <xf numFmtId="0" fontId="10" fillId="0" borderId="0" xfId="0" applyFont="1" applyFill="1" applyAlignment="1">
      <alignment horizontal="center"/>
    </xf>
    <xf numFmtId="2" fontId="0" fillId="14" borderId="0" xfId="0" applyNumberFormat="1" applyFill="1" applyBorder="1"/>
    <xf numFmtId="2" fontId="0" fillId="14" borderId="14" xfId="0" applyNumberFormat="1" applyFill="1" applyBorder="1"/>
    <xf numFmtId="2" fontId="0" fillId="14" borderId="11" xfId="0" applyNumberFormat="1" applyFill="1" applyBorder="1"/>
    <xf numFmtId="0" fontId="0" fillId="14" borderId="0" xfId="0" applyFill="1" applyBorder="1" applyAlignment="1">
      <alignment horizontal="left"/>
    </xf>
    <xf numFmtId="49" fontId="0" fillId="14" borderId="0" xfId="0" applyNumberFormat="1" applyFont="1" applyFill="1" applyBorder="1" applyAlignment="1">
      <alignment horizontal="center"/>
    </xf>
    <xf numFmtId="49" fontId="10" fillId="0" borderId="0" xfId="0" applyNumberFormat="1" applyFont="1" applyAlignment="1">
      <alignment horizontal="center"/>
    </xf>
    <xf numFmtId="49" fontId="10" fillId="0" borderId="0" xfId="0" applyNumberFormat="1" applyFont="1" applyFill="1" applyBorder="1" applyAlignment="1">
      <alignment horizontal="center"/>
    </xf>
    <xf numFmtId="49" fontId="9" fillId="0" borderId="0" xfId="0" applyNumberFormat="1" applyFont="1" applyFill="1" applyBorder="1" applyAlignment="1">
      <alignment horizontal="center"/>
    </xf>
    <xf numFmtId="49" fontId="0" fillId="0" borderId="0" xfId="0" applyNumberFormat="1" applyAlignment="1">
      <alignment horizontal="center"/>
    </xf>
    <xf numFmtId="49" fontId="0" fillId="14" borderId="0" xfId="0" applyNumberFormat="1" applyFill="1" applyAlignment="1">
      <alignment horizontal="center"/>
    </xf>
    <xf numFmtId="49" fontId="10" fillId="0" borderId="0" xfId="0" applyNumberFormat="1" applyFont="1" applyFill="1" applyAlignment="1">
      <alignment horizontal="center"/>
    </xf>
    <xf numFmtId="49" fontId="0" fillId="0" borderId="0" xfId="0" applyNumberFormat="1" applyFill="1" applyAlignment="1">
      <alignment horizontal="center"/>
    </xf>
    <xf numFmtId="49" fontId="0" fillId="0" borderId="0" xfId="0" applyNumberFormat="1" applyFill="1" applyBorder="1" applyAlignment="1">
      <alignment horizontal="center"/>
    </xf>
    <xf numFmtId="0" fontId="0" fillId="3" borderId="0" xfId="0" applyFill="1" applyBorder="1" applyAlignment="1">
      <alignment horizontal="center"/>
    </xf>
    <xf numFmtId="0" fontId="0" fillId="3" borderId="10"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3" borderId="9" xfId="0" applyFill="1" applyBorder="1" applyAlignment="1">
      <alignment horizontal="center"/>
    </xf>
    <xf numFmtId="49" fontId="0" fillId="3" borderId="4" xfId="0" applyNumberFormat="1" applyFill="1" applyBorder="1" applyAlignment="1">
      <alignment horizontal="center"/>
    </xf>
    <xf numFmtId="49" fontId="0" fillId="3" borderId="2" xfId="0" applyNumberFormat="1" applyFill="1" applyBorder="1" applyAlignment="1">
      <alignment horizontal="center"/>
    </xf>
    <xf numFmtId="49" fontId="0" fillId="3" borderId="6" xfId="0" applyNumberFormat="1" applyFill="1" applyBorder="1" applyAlignment="1">
      <alignment horizontal="center"/>
    </xf>
    <xf numFmtId="0" fontId="0" fillId="3" borderId="2" xfId="0" applyFill="1" applyBorder="1" applyAlignment="1">
      <alignment horizontal="center"/>
    </xf>
    <xf numFmtId="49" fontId="10" fillId="14" borderId="0" xfId="0" applyNumberFormat="1" applyFont="1" applyFill="1" applyAlignment="1">
      <alignment horizontal="center"/>
    </xf>
    <xf numFmtId="49" fontId="0" fillId="0" borderId="0" xfId="0" applyNumberFormat="1" applyFont="1" applyAlignment="1">
      <alignment horizontal="center"/>
    </xf>
    <xf numFmtId="21" fontId="0" fillId="10" borderId="2" xfId="0" applyNumberFormat="1" applyFill="1" applyBorder="1"/>
    <xf numFmtId="21" fontId="0" fillId="0" borderId="2" xfId="0" applyNumberFormat="1" applyBorder="1" applyAlignment="1">
      <alignment horizontal="right"/>
    </xf>
    <xf numFmtId="2" fontId="1" fillId="0" borderId="11" xfId="0" applyNumberFormat="1" applyFont="1" applyFill="1" applyBorder="1"/>
    <xf numFmtId="0" fontId="0" fillId="0" borderId="2" xfId="0" applyFill="1" applyBorder="1" applyAlignment="1">
      <alignment horizontal="center"/>
    </xf>
    <xf numFmtId="2" fontId="0" fillId="0" borderId="14" xfId="0" applyNumberFormat="1" applyFill="1" applyBorder="1"/>
    <xf numFmtId="49" fontId="0" fillId="0" borderId="0" xfId="0" applyNumberFormat="1" applyFill="1" applyBorder="1"/>
    <xf numFmtId="2" fontId="0" fillId="0" borderId="11" xfId="0" applyNumberFormat="1" applyFill="1" applyBorder="1"/>
    <xf numFmtId="0" fontId="9" fillId="0" borderId="0" xfId="0" applyFont="1" applyBorder="1"/>
    <xf numFmtId="2" fontId="10" fillId="0" borderId="11" xfId="0" applyNumberFormat="1" applyFont="1" applyBorder="1"/>
    <xf numFmtId="2" fontId="10" fillId="0" borderId="0" xfId="0" applyNumberFormat="1" applyFont="1" applyBorder="1"/>
    <xf numFmtId="2" fontId="10" fillId="0" borderId="14" xfId="0" applyNumberFormat="1" applyFont="1" applyBorder="1"/>
    <xf numFmtId="14" fontId="19" fillId="14" borderId="0" xfId="1" applyNumberFormat="1" applyFont="1" applyFill="1" applyBorder="1" applyAlignment="1">
      <alignment wrapText="1"/>
    </xf>
    <xf numFmtId="14" fontId="19" fillId="0" borderId="0" xfId="1" applyNumberFormat="1" applyFont="1" applyFill="1" applyBorder="1" applyAlignment="1">
      <alignment wrapText="1"/>
    </xf>
    <xf numFmtId="1" fontId="0" fillId="24" borderId="0" xfId="0" applyNumberFormat="1" applyFill="1" applyBorder="1" applyAlignment="1">
      <alignment horizontal="right"/>
    </xf>
    <xf numFmtId="1" fontId="9" fillId="24" borderId="0" xfId="0" applyNumberFormat="1" applyFont="1" applyFill="1" applyBorder="1" applyAlignment="1">
      <alignment horizontal="right"/>
    </xf>
    <xf numFmtId="1" fontId="9" fillId="24" borderId="12" xfId="0" applyNumberFormat="1" applyFont="1" applyFill="1" applyBorder="1" applyAlignment="1">
      <alignment horizontal="right"/>
    </xf>
    <xf numFmtId="1" fontId="0" fillId="0" borderId="11" xfId="0" applyNumberFormat="1" applyBorder="1" applyAlignment="1">
      <alignment horizontal="right"/>
    </xf>
    <xf numFmtId="1" fontId="19" fillId="0" borderId="11" xfId="1" applyNumberFormat="1" applyFont="1" applyFill="1" applyBorder="1" applyAlignment="1">
      <alignment wrapText="1"/>
    </xf>
    <xf numFmtId="2" fontId="10" fillId="0" borderId="0" xfId="0" applyNumberFormat="1" applyFont="1" applyFill="1" applyBorder="1"/>
    <xf numFmtId="0" fontId="0" fillId="0" borderId="0" xfId="0" applyAlignment="1">
      <alignment horizontal="left"/>
    </xf>
    <xf numFmtId="14" fontId="0" fillId="0" borderId="0" xfId="0" applyNumberFormat="1" applyAlignment="1">
      <alignment horizontal="left"/>
    </xf>
    <xf numFmtId="14" fontId="0" fillId="17" borderId="0" xfId="0" applyNumberFormat="1" applyFill="1" applyAlignment="1">
      <alignment horizontal="left"/>
    </xf>
    <xf numFmtId="0" fontId="0" fillId="17" borderId="0" xfId="0" applyFill="1" applyAlignment="1">
      <alignment horizontal="left"/>
    </xf>
    <xf numFmtId="0" fontId="0" fillId="11" borderId="0" xfId="0" applyFill="1" applyAlignment="1">
      <alignment horizontal="left"/>
    </xf>
    <xf numFmtId="14" fontId="0" fillId="0" borderId="0" xfId="0" applyNumberFormat="1" applyFill="1" applyAlignment="1">
      <alignment horizontal="left"/>
    </xf>
    <xf numFmtId="0" fontId="0" fillId="0" borderId="0" xfId="0" applyFill="1" applyAlignment="1">
      <alignment horizontal="left"/>
    </xf>
    <xf numFmtId="14" fontId="0" fillId="23" borderId="0" xfId="0" applyNumberFormat="1" applyFill="1" applyAlignment="1">
      <alignment horizontal="left"/>
    </xf>
    <xf numFmtId="14" fontId="0" fillId="11" borderId="0" xfId="0" applyNumberFormat="1" applyFill="1" applyAlignment="1">
      <alignment horizontal="left"/>
    </xf>
    <xf numFmtId="0" fontId="0" fillId="0" borderId="0" xfId="0" applyNumberFormat="1" applyAlignment="1">
      <alignment horizontal="left"/>
    </xf>
    <xf numFmtId="0" fontId="16" fillId="0" borderId="16" xfId="2" applyFont="1" applyFill="1" applyBorder="1" applyAlignment="1">
      <alignment horizontal="left" wrapText="1"/>
    </xf>
    <xf numFmtId="14" fontId="16" fillId="0" borderId="16" xfId="2" applyNumberFormat="1" applyFont="1" applyFill="1" applyBorder="1" applyAlignment="1">
      <alignment horizontal="left" wrapText="1"/>
    </xf>
    <xf numFmtId="14" fontId="19" fillId="0" borderId="16" xfId="2" applyNumberFormat="1" applyFont="1" applyFill="1" applyBorder="1" applyAlignment="1">
      <alignment horizontal="right" wrapText="1"/>
    </xf>
    <xf numFmtId="14" fontId="19" fillId="0" borderId="16" xfId="2" applyNumberFormat="1" applyFont="1" applyFill="1" applyBorder="1" applyAlignment="1">
      <alignment wrapText="1"/>
    </xf>
    <xf numFmtId="0" fontId="0" fillId="0" borderId="0" xfId="0" applyNumberFormat="1" applyFont="1" applyFill="1" applyBorder="1" applyAlignment="1"/>
    <xf numFmtId="0" fontId="0" fillId="0" borderId="0" xfId="0" applyFont="1" applyFill="1" applyBorder="1" applyAlignment="1"/>
    <xf numFmtId="2" fontId="0" fillId="14" borderId="0" xfId="0" applyNumberFormat="1" applyFont="1" applyFill="1" applyBorder="1" applyAlignment="1">
      <alignment horizontal="right"/>
    </xf>
    <xf numFmtId="2" fontId="0" fillId="0" borderId="0" xfId="0" applyNumberFormat="1" applyFont="1" applyAlignment="1">
      <alignment horizontal="right"/>
    </xf>
    <xf numFmtId="2" fontId="19" fillId="0" borderId="16" xfId="2" applyNumberFormat="1" applyFont="1" applyFill="1" applyBorder="1" applyAlignment="1">
      <alignment wrapText="1"/>
    </xf>
    <xf numFmtId="2" fontId="0" fillId="0" borderId="0" xfId="0" applyNumberFormat="1" applyFont="1" applyFill="1" applyBorder="1" applyAlignment="1"/>
    <xf numFmtId="1" fontId="0" fillId="14" borderId="0" xfId="0" applyNumberFormat="1" applyFont="1" applyFill="1" applyBorder="1" applyAlignment="1">
      <alignment horizontal="right"/>
    </xf>
    <xf numFmtId="1" fontId="9" fillId="0" borderId="0" xfId="0" applyNumberFormat="1" applyFont="1" applyFill="1" applyBorder="1" applyAlignment="1">
      <alignment horizontal="right"/>
    </xf>
    <xf numFmtId="1" fontId="19" fillId="0" borderId="16" xfId="2" applyNumberFormat="1" applyFont="1" applyFill="1" applyBorder="1" applyAlignment="1">
      <alignment wrapText="1"/>
    </xf>
    <xf numFmtId="1" fontId="0" fillId="0" borderId="0" xfId="0" applyNumberFormat="1" applyFont="1" applyFill="1" applyBorder="1" applyAlignment="1"/>
    <xf numFmtId="1" fontId="0" fillId="0" borderId="0" xfId="0" applyNumberFormat="1" applyFont="1" applyAlignment="1">
      <alignment horizontal="right"/>
    </xf>
    <xf numFmtId="1" fontId="9" fillId="0" borderId="0" xfId="0" applyNumberFormat="1" applyFont="1" applyFill="1"/>
    <xf numFmtId="2" fontId="0" fillId="14" borderId="11" xfId="0" applyNumberFormat="1" applyFont="1" applyFill="1" applyBorder="1" applyAlignment="1">
      <alignment horizontal="right"/>
    </xf>
    <xf numFmtId="2" fontId="9" fillId="0" borderId="11" xfId="0" applyNumberFormat="1" applyFont="1" applyFill="1" applyBorder="1" applyAlignment="1">
      <alignment horizontal="right"/>
    </xf>
    <xf numFmtId="2" fontId="19" fillId="14" borderId="11" xfId="1" applyNumberFormat="1" applyFont="1" applyFill="1" applyBorder="1" applyAlignment="1">
      <alignment horizontal="right" wrapText="1"/>
    </xf>
    <xf numFmtId="2" fontId="19" fillId="0" borderId="11" xfId="1" applyNumberFormat="1" applyFont="1" applyFill="1" applyBorder="1" applyAlignment="1">
      <alignment horizontal="right" wrapText="1"/>
    </xf>
    <xf numFmtId="2" fontId="19" fillId="14" borderId="11" xfId="1" applyNumberFormat="1" applyFont="1" applyFill="1" applyBorder="1" applyAlignment="1">
      <alignment wrapText="1"/>
    </xf>
    <xf numFmtId="2" fontId="19" fillId="0" borderId="11" xfId="1" applyNumberFormat="1" applyFont="1" applyFill="1" applyBorder="1" applyAlignment="1">
      <alignment wrapText="1"/>
    </xf>
    <xf numFmtId="2" fontId="19" fillId="0" borderId="22" xfId="2" applyNumberFormat="1" applyFont="1" applyFill="1" applyBorder="1" applyAlignment="1">
      <alignment wrapText="1"/>
    </xf>
    <xf numFmtId="2" fontId="0" fillId="0" borderId="11" xfId="0" applyNumberFormat="1" applyFont="1" applyBorder="1" applyAlignment="1">
      <alignment horizontal="right"/>
    </xf>
    <xf numFmtId="14" fontId="0" fillId="0" borderId="0" xfId="0" applyNumberFormat="1" applyFont="1" applyBorder="1" applyAlignment="1">
      <alignment horizontal="right"/>
    </xf>
    <xf numFmtId="14" fontId="0" fillId="14" borderId="0" xfId="0" applyNumberFormat="1" applyFont="1" applyFill="1" applyBorder="1" applyAlignment="1">
      <alignment horizontal="right"/>
    </xf>
    <xf numFmtId="2" fontId="0" fillId="14" borderId="0" xfId="0" applyNumberFormat="1" applyFont="1" applyFill="1" applyAlignment="1">
      <alignment horizontal="right"/>
    </xf>
    <xf numFmtId="1" fontId="0" fillId="14" borderId="0" xfId="0" applyNumberFormat="1" applyFont="1" applyFill="1" applyAlignment="1">
      <alignment horizontal="right"/>
    </xf>
    <xf numFmtId="1" fontId="0" fillId="0" borderId="0" xfId="0" applyNumberFormat="1" applyFont="1" applyBorder="1" applyAlignment="1">
      <alignment horizontal="right"/>
    </xf>
    <xf numFmtId="1" fontId="0" fillId="0" borderId="0" xfId="0" applyNumberFormat="1" applyFont="1" applyFill="1" applyAlignment="1">
      <alignment horizontal="right"/>
    </xf>
    <xf numFmtId="2" fontId="0" fillId="0" borderId="0" xfId="0" applyNumberFormat="1" applyFont="1" applyFill="1" applyAlignment="1">
      <alignment horizontal="right"/>
    </xf>
    <xf numFmtId="2" fontId="0" fillId="17" borderId="11" xfId="0" applyNumberFormat="1" applyFont="1" applyFill="1" applyBorder="1" applyAlignment="1">
      <alignment horizontal="right"/>
    </xf>
    <xf numFmtId="14" fontId="0" fillId="17" borderId="0" xfId="0" applyNumberFormat="1" applyFont="1" applyFill="1" applyAlignment="1">
      <alignment horizontal="right"/>
    </xf>
    <xf numFmtId="14" fontId="0" fillId="0" borderId="0" xfId="0" applyNumberFormat="1" applyFont="1" applyAlignment="1">
      <alignment horizontal="right"/>
    </xf>
    <xf numFmtId="1" fontId="0" fillId="0" borderId="0" xfId="0" applyNumberFormat="1" applyFont="1" applyFill="1" applyBorder="1" applyAlignment="1">
      <alignment horizontal="right"/>
    </xf>
    <xf numFmtId="2" fontId="0" fillId="0" borderId="0" xfId="0" applyNumberFormat="1" applyFont="1" applyFill="1" applyBorder="1" applyAlignment="1">
      <alignment horizontal="right"/>
    </xf>
    <xf numFmtId="1" fontId="0" fillId="14" borderId="0" xfId="0" applyNumberFormat="1" applyFont="1" applyFill="1" applyBorder="1"/>
    <xf numFmtId="1" fontId="0" fillId="0" borderId="0" xfId="0" applyNumberFormat="1" applyFont="1" applyFill="1" applyBorder="1"/>
    <xf numFmtId="1" fontId="0" fillId="14" borderId="0" xfId="0" applyNumberFormat="1" applyFont="1" applyFill="1" applyBorder="1" applyAlignment="1"/>
    <xf numFmtId="2" fontId="0" fillId="14" borderId="0" xfId="0" applyNumberFormat="1" applyFont="1" applyFill="1" applyBorder="1" applyAlignment="1"/>
    <xf numFmtId="1" fontId="0" fillId="0" borderId="11" xfId="0" applyNumberFormat="1" applyFont="1" applyFill="1" applyBorder="1" applyAlignment="1"/>
    <xf numFmtId="1" fontId="0" fillId="0" borderId="11" xfId="0" applyNumberFormat="1" applyFont="1" applyBorder="1" applyAlignment="1"/>
    <xf numFmtId="0" fontId="0" fillId="0" borderId="0" xfId="0" applyFont="1" applyBorder="1" applyAlignment="1"/>
    <xf numFmtId="0" fontId="0" fillId="0" borderId="0" xfId="0" applyNumberFormat="1" applyFont="1" applyBorder="1" applyAlignment="1"/>
    <xf numFmtId="0" fontId="0" fillId="0" borderId="0" xfId="0" applyFont="1" applyAlignment="1"/>
    <xf numFmtId="14" fontId="19" fillId="0" borderId="0" xfId="1" applyNumberFormat="1" applyFont="1" applyFill="1" applyBorder="1" applyAlignment="1">
      <alignment horizontal="right" wrapText="1"/>
    </xf>
    <xf numFmtId="2" fontId="19" fillId="0" borderId="22" xfId="2" applyNumberFormat="1" applyFont="1" applyFill="1" applyBorder="1" applyAlignment="1">
      <alignment horizontal="right" wrapText="1"/>
    </xf>
    <xf numFmtId="2" fontId="19" fillId="0" borderId="16" xfId="2" applyNumberFormat="1" applyFont="1" applyFill="1" applyBorder="1" applyAlignment="1">
      <alignment horizontal="right" wrapText="1"/>
    </xf>
    <xf numFmtId="2" fontId="9" fillId="0" borderId="11" xfId="1" applyNumberFormat="1" applyFont="1" applyFill="1" applyBorder="1" applyAlignment="1">
      <alignment wrapText="1"/>
    </xf>
    <xf numFmtId="14" fontId="9" fillId="0" borderId="0" xfId="1" applyNumberFormat="1" applyFont="1" applyFill="1" applyBorder="1" applyAlignment="1">
      <alignment wrapText="1"/>
    </xf>
    <xf numFmtId="0" fontId="9" fillId="0" borderId="0" xfId="0" applyFont="1" applyAlignment="1">
      <alignment horizontal="center"/>
    </xf>
    <xf numFmtId="2" fontId="0" fillId="0" borderId="0" xfId="0" applyNumberFormat="1" applyFont="1" applyAlignment="1"/>
    <xf numFmtId="2" fontId="0" fillId="20" borderId="0" xfId="0" applyNumberFormat="1" applyFill="1" applyBorder="1"/>
    <xf numFmtId="2" fontId="0" fillId="20" borderId="14" xfId="0" applyNumberFormat="1" applyFill="1" applyBorder="1"/>
    <xf numFmtId="2" fontId="0" fillId="18" borderId="8" xfId="0" applyNumberFormat="1" applyFill="1" applyBorder="1"/>
    <xf numFmtId="0" fontId="22" fillId="17" borderId="0" xfId="0" applyFont="1" applyFill="1" applyAlignment="1">
      <alignment horizontal="left"/>
    </xf>
    <xf numFmtId="14" fontId="22" fillId="17" borderId="0" xfId="0" applyNumberFormat="1" applyFont="1" applyFill="1" applyAlignment="1">
      <alignment horizontal="left"/>
    </xf>
    <xf numFmtId="14" fontId="22" fillId="0" borderId="0" xfId="0" applyNumberFormat="1" applyFont="1" applyAlignment="1">
      <alignment horizontal="left"/>
    </xf>
    <xf numFmtId="0" fontId="1" fillId="0" borderId="0" xfId="0" applyFont="1" applyAlignment="1">
      <alignment horizontal="left"/>
    </xf>
    <xf numFmtId="2" fontId="0" fillId="0" borderId="11" xfId="0" applyNumberFormat="1" applyFont="1" applyFill="1" applyBorder="1" applyAlignment="1">
      <alignment horizontal="right"/>
    </xf>
    <xf numFmtId="14" fontId="0" fillId="0" borderId="0" xfId="0" applyNumberFormat="1" applyFont="1" applyFill="1" applyBorder="1" applyAlignment="1">
      <alignment horizontal="left"/>
    </xf>
    <xf numFmtId="0" fontId="0" fillId="0" borderId="16" xfId="0" applyFill="1" applyBorder="1" applyAlignment="1">
      <alignment horizontal="left"/>
    </xf>
    <xf numFmtId="0" fontId="16" fillId="0" borderId="0" xfId="1" applyFont="1" applyFill="1" applyBorder="1" applyAlignment="1">
      <alignment horizontal="left" wrapText="1"/>
    </xf>
    <xf numFmtId="0" fontId="16" fillId="0" borderId="0" xfId="2" applyFont="1" applyFill="1" applyBorder="1" applyAlignment="1">
      <alignment horizontal="left" wrapText="1"/>
    </xf>
    <xf numFmtId="0" fontId="0" fillId="17" borderId="16" xfId="0" applyFill="1" applyBorder="1" applyAlignment="1">
      <alignment horizontal="left"/>
    </xf>
    <xf numFmtId="14" fontId="0" fillId="0" borderId="16" xfId="0" applyNumberFormat="1" applyFill="1" applyBorder="1" applyAlignment="1">
      <alignment horizontal="left"/>
    </xf>
    <xf numFmtId="14" fontId="16" fillId="0" borderId="0" xfId="1" applyNumberFormat="1" applyFont="1" applyFill="1" applyBorder="1" applyAlignment="1">
      <alignment horizontal="left" wrapText="1"/>
    </xf>
    <xf numFmtId="14" fontId="16" fillId="0" borderId="0" xfId="2" applyNumberFormat="1" applyFont="1" applyFill="1" applyBorder="1" applyAlignment="1">
      <alignment horizontal="left" wrapText="1"/>
    </xf>
    <xf numFmtId="14" fontId="0" fillId="17" borderId="16" xfId="0" applyNumberFormat="1" applyFill="1" applyBorder="1" applyAlignment="1">
      <alignment horizontal="left"/>
    </xf>
    <xf numFmtId="2" fontId="0" fillId="0" borderId="0" xfId="0" applyNumberFormat="1" applyAlignment="1">
      <alignment horizontal="left"/>
    </xf>
    <xf numFmtId="2" fontId="15" fillId="23" borderId="16" xfId="1" applyNumberFormat="1" applyFont="1" applyFill="1" applyBorder="1" applyAlignment="1">
      <alignment horizontal="left" wrapText="1"/>
    </xf>
    <xf numFmtId="2" fontId="15" fillId="0" borderId="16" xfId="1" applyNumberFormat="1" applyFont="1" applyFill="1" applyBorder="1" applyAlignment="1">
      <alignment horizontal="left" wrapText="1"/>
    </xf>
    <xf numFmtId="2" fontId="0" fillId="0" borderId="16" xfId="0" applyNumberFormat="1" applyBorder="1" applyAlignment="1">
      <alignment horizontal="left"/>
    </xf>
    <xf numFmtId="2" fontId="17" fillId="23" borderId="16" xfId="1" applyNumberFormat="1" applyFont="1" applyFill="1" applyBorder="1" applyAlignment="1">
      <alignment horizontal="left" wrapText="1"/>
    </xf>
    <xf numFmtId="2" fontId="15" fillId="17" borderId="16" xfId="1" applyNumberFormat="1" applyFont="1" applyFill="1" applyBorder="1" applyAlignment="1">
      <alignment horizontal="left" wrapText="1"/>
    </xf>
    <xf numFmtId="2" fontId="15" fillId="11" borderId="16" xfId="1" applyNumberFormat="1" applyFont="1" applyFill="1" applyBorder="1" applyAlignment="1">
      <alignment horizontal="left" wrapText="1"/>
    </xf>
    <xf numFmtId="2" fontId="17" fillId="11" borderId="0" xfId="1" applyNumberFormat="1" applyFont="1" applyFill="1" applyBorder="1" applyAlignment="1">
      <alignment horizontal="left" wrapText="1"/>
    </xf>
    <xf numFmtId="2" fontId="21" fillId="0" borderId="0" xfId="0" applyNumberFormat="1" applyFont="1" applyAlignment="1">
      <alignment horizontal="left" vertical="center" wrapText="1"/>
    </xf>
    <xf numFmtId="2" fontId="0" fillId="17" borderId="0" xfId="0" applyNumberFormat="1" applyFill="1" applyAlignment="1">
      <alignment horizontal="left"/>
    </xf>
    <xf numFmtId="2" fontId="1" fillId="0" borderId="0" xfId="0" applyNumberFormat="1" applyFont="1" applyAlignment="1">
      <alignment horizontal="left"/>
    </xf>
    <xf numFmtId="0" fontId="10" fillId="0" borderId="11" xfId="0" applyFont="1" applyFill="1" applyBorder="1"/>
    <xf numFmtId="2" fontId="10" fillId="0" borderId="14" xfId="0" applyNumberFormat="1" applyFont="1" applyFill="1" applyBorder="1"/>
    <xf numFmtId="2" fontId="2" fillId="14" borderId="11" xfId="0" applyNumberFormat="1" applyFont="1" applyFill="1" applyBorder="1"/>
    <xf numFmtId="0" fontId="9" fillId="14" borderId="2" xfId="0" applyFont="1" applyFill="1" applyBorder="1" applyAlignment="1">
      <alignment horizontal="center"/>
    </xf>
    <xf numFmtId="0" fontId="9" fillId="14" borderId="2" xfId="0" applyFont="1" applyFill="1" applyBorder="1"/>
    <xf numFmtId="2" fontId="9" fillId="14" borderId="0" xfId="0" applyNumberFormat="1" applyFont="1" applyFill="1" applyBorder="1"/>
    <xf numFmtId="0" fontId="9" fillId="14" borderId="14" xfId="0" applyFont="1" applyFill="1" applyBorder="1"/>
    <xf numFmtId="2" fontId="9" fillId="14" borderId="14" xfId="0" applyNumberFormat="1" applyFont="1" applyFill="1" applyBorder="1"/>
    <xf numFmtId="49" fontId="9" fillId="14" borderId="0" xfId="0" applyNumberFormat="1" applyFont="1" applyFill="1" applyBorder="1"/>
    <xf numFmtId="2" fontId="9" fillId="14" borderId="11" xfId="0" applyNumberFormat="1" applyFont="1" applyFill="1" applyBorder="1"/>
    <xf numFmtId="0" fontId="9" fillId="14" borderId="0" xfId="0" applyFont="1" applyFill="1"/>
    <xf numFmtId="0" fontId="9" fillId="14" borderId="0" xfId="0" applyFont="1" applyFill="1" applyAlignment="1">
      <alignment horizontal="center"/>
    </xf>
    <xf numFmtId="49" fontId="9" fillId="14" borderId="0" xfId="0" applyNumberFormat="1" applyFont="1" applyFill="1" applyAlignment="1">
      <alignment horizontal="center"/>
    </xf>
    <xf numFmtId="2" fontId="9" fillId="14" borderId="11" xfId="0" applyNumberFormat="1" applyFont="1" applyFill="1" applyBorder="1" applyAlignment="1">
      <alignment horizontal="right"/>
    </xf>
    <xf numFmtId="1" fontId="9" fillId="14" borderId="0" xfId="0" applyNumberFormat="1" applyFont="1" applyFill="1" applyBorder="1" applyAlignment="1">
      <alignment horizontal="right"/>
    </xf>
    <xf numFmtId="2" fontId="9" fillId="14" borderId="0" xfId="0" applyNumberFormat="1" applyFont="1" applyFill="1"/>
    <xf numFmtId="1" fontId="9" fillId="14" borderId="0" xfId="0" applyNumberFormat="1" applyFont="1" applyFill="1"/>
    <xf numFmtId="0" fontId="10" fillId="0" borderId="14" xfId="0" applyFont="1" applyFill="1" applyBorder="1"/>
    <xf numFmtId="2" fontId="10" fillId="0" borderId="11" xfId="0" applyNumberFormat="1" applyFont="1" applyFill="1" applyBorder="1"/>
    <xf numFmtId="0" fontId="0" fillId="20" borderId="0" xfId="0" applyFill="1" applyBorder="1"/>
    <xf numFmtId="0" fontId="0" fillId="20" borderId="15" xfId="0" applyFill="1" applyBorder="1"/>
    <xf numFmtId="0" fontId="0" fillId="20" borderId="1" xfId="0" applyFill="1" applyBorder="1"/>
    <xf numFmtId="0" fontId="0" fillId="20" borderId="8" xfId="0" applyFill="1" applyBorder="1"/>
    <xf numFmtId="0" fontId="0" fillId="20" borderId="9" xfId="0" applyFill="1" applyBorder="1"/>
    <xf numFmtId="164" fontId="9" fillId="0" borderId="0" xfId="0" applyNumberFormat="1" applyFont="1" applyBorder="1"/>
    <xf numFmtId="0" fontId="0" fillId="7" borderId="1" xfId="0" applyFill="1" applyBorder="1"/>
    <xf numFmtId="0" fontId="0" fillId="22" borderId="0" xfId="0" applyFill="1" applyBorder="1"/>
    <xf numFmtId="0" fontId="0" fillId="21" borderId="1" xfId="0" applyFill="1" applyBorder="1" applyAlignment="1">
      <alignment horizontal="left"/>
    </xf>
    <xf numFmtId="0" fontId="0" fillId="22" borderId="1" xfId="0" applyFill="1" applyBorder="1" applyAlignment="1">
      <alignment horizontal="left"/>
    </xf>
    <xf numFmtId="0" fontId="0" fillId="22" borderId="0" xfId="0" applyFill="1"/>
    <xf numFmtId="0" fontId="0" fillId="7" borderId="10" xfId="0" applyFill="1" applyBorder="1" applyAlignment="1">
      <alignment horizontal="right"/>
    </xf>
    <xf numFmtId="0" fontId="0" fillId="7" borderId="15" xfId="0" applyFill="1" applyBorder="1" applyAlignment="1">
      <alignment horizontal="right"/>
    </xf>
    <xf numFmtId="0" fontId="9" fillId="14" borderId="0" xfId="0" applyFont="1" applyFill="1" applyBorder="1" applyAlignment="1">
      <alignment horizontal="right"/>
    </xf>
    <xf numFmtId="0" fontId="9" fillId="0" borderId="0" xfId="0" applyFont="1" applyFill="1" applyBorder="1" applyAlignment="1">
      <alignment horizontal="right"/>
    </xf>
    <xf numFmtId="0" fontId="10" fillId="14" borderId="0" xfId="0" applyFont="1" applyFill="1" applyBorder="1" applyAlignment="1">
      <alignment horizontal="right"/>
    </xf>
    <xf numFmtId="0" fontId="0" fillId="0" borderId="0" xfId="0" applyBorder="1" applyAlignment="1">
      <alignment horizontal="right"/>
    </xf>
    <xf numFmtId="0" fontId="9" fillId="0" borderId="0" xfId="0" applyFont="1" applyBorder="1" applyAlignment="1">
      <alignment horizontal="right"/>
    </xf>
    <xf numFmtId="0" fontId="0" fillId="0" borderId="0" xfId="0" applyFill="1" applyBorder="1" applyAlignment="1">
      <alignment horizontal="right"/>
    </xf>
    <xf numFmtId="0" fontId="10" fillId="0" borderId="0" xfId="0" applyFont="1" applyFill="1" applyBorder="1" applyAlignment="1">
      <alignment horizontal="right"/>
    </xf>
    <xf numFmtId="49" fontId="0" fillId="0" borderId="11" xfId="0" applyNumberFormat="1" applyBorder="1" applyAlignment="1">
      <alignment horizontal="right"/>
    </xf>
    <xf numFmtId="49" fontId="1" fillId="2" borderId="1" xfId="0" applyNumberFormat="1" applyFont="1" applyFill="1" applyBorder="1" applyAlignment="1">
      <alignment horizontal="center"/>
    </xf>
    <xf numFmtId="0" fontId="1" fillId="0" borderId="0" xfId="0" applyFont="1" applyAlignment="1">
      <alignment horizontal="center"/>
    </xf>
    <xf numFmtId="0" fontId="1" fillId="3" borderId="2" xfId="0" applyFont="1" applyFill="1" applyBorder="1" applyAlignment="1">
      <alignment horizontal="center"/>
    </xf>
    <xf numFmtId="0" fontId="1" fillId="4" borderId="2" xfId="0" applyFont="1" applyFill="1" applyBorder="1" applyAlignment="1">
      <alignment horizontal="center"/>
    </xf>
    <xf numFmtId="0" fontId="2" fillId="5" borderId="2" xfId="0" applyFont="1" applyFill="1" applyBorder="1" applyAlignment="1">
      <alignment horizontal="center"/>
    </xf>
    <xf numFmtId="0" fontId="1" fillId="6" borderId="2" xfId="0" applyFont="1" applyFill="1" applyBorder="1" applyAlignment="1">
      <alignment horizontal="center"/>
    </xf>
    <xf numFmtId="0" fontId="1" fillId="7" borderId="2" xfId="0" applyFont="1" applyFill="1" applyBorder="1" applyAlignment="1">
      <alignment horizontal="center"/>
    </xf>
    <xf numFmtId="49" fontId="1" fillId="7" borderId="2" xfId="0" applyNumberFormat="1" applyFont="1" applyFill="1" applyBorder="1" applyAlignment="1">
      <alignment horizontal="center"/>
    </xf>
    <xf numFmtId="0" fontId="1" fillId="8" borderId="2" xfId="0" applyFont="1" applyFill="1" applyBorder="1" applyAlignment="1">
      <alignment horizontal="center"/>
    </xf>
    <xf numFmtId="0" fontId="1" fillId="9" borderId="2" xfId="0" applyFont="1" applyFill="1" applyBorder="1" applyAlignment="1">
      <alignment horizontal="center"/>
    </xf>
    <xf numFmtId="0" fontId="1" fillId="0" borderId="2" xfId="0" applyFont="1" applyBorder="1" applyAlignment="1">
      <alignment horizontal="center"/>
    </xf>
    <xf numFmtId="0" fontId="1" fillId="0" borderId="1" xfId="0" applyFont="1" applyBorder="1"/>
    <xf numFmtId="1" fontId="0" fillId="7" borderId="10" xfId="0" applyNumberFormat="1" applyFill="1" applyBorder="1"/>
    <xf numFmtId="1" fontId="0" fillId="7" borderId="15" xfId="0" applyNumberFormat="1" applyFill="1" applyBorder="1"/>
    <xf numFmtId="1" fontId="0" fillId="7" borderId="15" xfId="0" applyNumberFormat="1" applyFill="1" applyBorder="1" applyAlignment="1">
      <alignment horizontal="center"/>
    </xf>
    <xf numFmtId="1" fontId="9" fillId="14" borderId="0" xfId="0" applyNumberFormat="1" applyFont="1" applyFill="1" applyBorder="1"/>
    <xf numFmtId="1" fontId="9" fillId="0" borderId="0" xfId="0" applyNumberFormat="1" applyFont="1" applyFill="1" applyBorder="1"/>
    <xf numFmtId="1" fontId="10" fillId="0" borderId="0" xfId="0" applyNumberFormat="1" applyFont="1" applyFill="1" applyBorder="1"/>
    <xf numFmtId="1" fontId="10" fillId="14" borderId="0" xfId="0" applyNumberFormat="1" applyFont="1" applyFill="1" applyBorder="1"/>
    <xf numFmtId="1" fontId="0" fillId="0" borderId="0" xfId="0" applyNumberFormat="1" applyBorder="1"/>
    <xf numFmtId="1" fontId="0" fillId="0" borderId="0" xfId="0" applyNumberFormat="1" applyFill="1" applyBorder="1"/>
    <xf numFmtId="1" fontId="10" fillId="0" borderId="0" xfId="0" applyNumberFormat="1" applyFont="1" applyBorder="1"/>
    <xf numFmtId="0" fontId="0" fillId="0" borderId="12" xfId="0" applyBorder="1" applyAlignment="1">
      <alignment horizontal="center"/>
    </xf>
    <xf numFmtId="0" fontId="0" fillId="16" borderId="1" xfId="0" applyFill="1" applyBorder="1"/>
    <xf numFmtId="0" fontId="0" fillId="7" borderId="3" xfId="0" applyFill="1" applyBorder="1"/>
    <xf numFmtId="0" fontId="0" fillId="7" borderId="12" xfId="0" applyFill="1" applyBorder="1"/>
    <xf numFmtId="0" fontId="0" fillId="7" borderId="12" xfId="0" applyFill="1" applyBorder="1" applyAlignment="1">
      <alignment horizontal="right"/>
    </xf>
    <xf numFmtId="2" fontId="0" fillId="7" borderId="12" xfId="0" applyNumberFormat="1" applyFill="1" applyBorder="1"/>
    <xf numFmtId="1" fontId="0" fillId="7" borderId="12" xfId="0" applyNumberFormat="1" applyFill="1" applyBorder="1"/>
    <xf numFmtId="0" fontId="0" fillId="20" borderId="12" xfId="0" applyFill="1" applyBorder="1"/>
    <xf numFmtId="0" fontId="0" fillId="8" borderId="3" xfId="0" applyFill="1" applyBorder="1"/>
    <xf numFmtId="2" fontId="0" fillId="8" borderId="12" xfId="0" applyNumberFormat="1" applyFill="1" applyBorder="1"/>
    <xf numFmtId="2" fontId="0" fillId="18" borderId="12" xfId="0" applyNumberFormat="1" applyFill="1" applyBorder="1"/>
    <xf numFmtId="2" fontId="0" fillId="18" borderId="3" xfId="0" applyNumberFormat="1" applyFill="1" applyBorder="1"/>
    <xf numFmtId="0" fontId="0" fillId="3" borderId="8" xfId="0" applyFill="1" applyBorder="1" applyAlignment="1">
      <alignment horizontal="center"/>
    </xf>
    <xf numFmtId="0" fontId="0" fillId="3" borderId="3" xfId="0" applyFill="1" applyBorder="1" applyAlignment="1">
      <alignment horizontal="center"/>
    </xf>
    <xf numFmtId="49" fontId="0" fillId="3" borderId="1" xfId="0" applyNumberFormat="1" applyFill="1" applyBorder="1" applyAlignment="1">
      <alignment horizontal="center"/>
    </xf>
    <xf numFmtId="0" fontId="0" fillId="3" borderId="1" xfId="0" applyFill="1" applyBorder="1" applyAlignment="1">
      <alignment horizontal="center"/>
    </xf>
    <xf numFmtId="0" fontId="0" fillId="0" borderId="12" xfId="0" applyFill="1" applyBorder="1"/>
    <xf numFmtId="0" fontId="0" fillId="0" borderId="12" xfId="0" applyNumberFormat="1" applyFill="1" applyBorder="1" applyAlignment="1">
      <alignment horizontal="right"/>
    </xf>
    <xf numFmtId="2" fontId="0" fillId="0" borderId="15" xfId="0" applyNumberFormat="1" applyBorder="1"/>
    <xf numFmtId="2" fontId="1" fillId="19" borderId="6" xfId="0" applyNumberFormat="1" applyFont="1" applyFill="1" applyBorder="1"/>
    <xf numFmtId="0" fontId="0" fillId="17" borderId="7" xfId="0" applyFill="1" applyBorder="1"/>
    <xf numFmtId="0" fontId="0" fillId="17" borderId="9" xfId="0" applyFill="1" applyBorder="1"/>
    <xf numFmtId="0" fontId="0" fillId="20" borderId="6" xfId="0" applyFill="1" applyBorder="1"/>
    <xf numFmtId="2" fontId="0" fillId="8" borderId="6" xfId="0" applyNumberFormat="1" applyFill="1" applyBorder="1"/>
    <xf numFmtId="2" fontId="1" fillId="15" borderId="3" xfId="0" applyNumberFormat="1" applyFont="1" applyFill="1" applyBorder="1"/>
    <xf numFmtId="2" fontId="0" fillId="0" borderId="12" xfId="0" applyNumberFormat="1" applyBorder="1"/>
    <xf numFmtId="0" fontId="0" fillId="0" borderId="6" xfId="0" applyBorder="1" applyAlignment="1">
      <alignment horizontal="center"/>
    </xf>
    <xf numFmtId="0" fontId="0" fillId="0" borderId="6" xfId="0" applyBorder="1"/>
    <xf numFmtId="0" fontId="0" fillId="0" borderId="7" xfId="0" applyBorder="1"/>
    <xf numFmtId="0" fontId="0" fillId="0" borderId="15" xfId="0" applyBorder="1" applyAlignment="1">
      <alignment horizontal="right"/>
    </xf>
    <xf numFmtId="1" fontId="0" fillId="0" borderId="15" xfId="0" applyNumberFormat="1" applyBorder="1"/>
    <xf numFmtId="0" fontId="0" fillId="0" borderId="9" xfId="0" applyBorder="1"/>
    <xf numFmtId="49" fontId="0" fillId="0" borderId="15" xfId="0" applyNumberFormat="1" applyBorder="1"/>
    <xf numFmtId="2" fontId="0" fillId="0" borderId="7" xfId="0" applyNumberFormat="1" applyBorder="1"/>
    <xf numFmtId="49" fontId="0" fillId="0" borderId="15" xfId="0" applyNumberFormat="1" applyBorder="1" applyAlignment="1">
      <alignment horizontal="center"/>
    </xf>
    <xf numFmtId="1" fontId="0" fillId="0" borderId="7" xfId="0" applyNumberFormat="1" applyFont="1" applyBorder="1" applyAlignment="1"/>
    <xf numFmtId="0" fontId="0" fillId="0" borderId="15" xfId="0" applyFont="1" applyBorder="1" applyAlignment="1"/>
    <xf numFmtId="0" fontId="0" fillId="0" borderId="15" xfId="0" applyNumberFormat="1" applyFont="1" applyBorder="1" applyAlignment="1"/>
    <xf numFmtId="2" fontId="0" fillId="0" borderId="15" xfId="0" applyNumberFormat="1" applyFont="1" applyBorder="1" applyAlignment="1"/>
    <xf numFmtId="49" fontId="1" fillId="0" borderId="1" xfId="0" applyNumberFormat="1" applyFont="1" applyFill="1" applyBorder="1"/>
    <xf numFmtId="49" fontId="1" fillId="0" borderId="6" xfId="0" applyNumberFormat="1" applyFont="1" applyFill="1" applyBorder="1"/>
    <xf numFmtId="49" fontId="1" fillId="0" borderId="20" xfId="0" applyNumberFormat="1" applyFont="1" applyFill="1" applyBorder="1"/>
    <xf numFmtId="49" fontId="1" fillId="2" borderId="17" xfId="0" applyNumberFormat="1" applyFont="1" applyFill="1" applyBorder="1"/>
    <xf numFmtId="49" fontId="1" fillId="2" borderId="20" xfId="0" applyNumberFormat="1" applyFont="1" applyFill="1" applyBorder="1"/>
    <xf numFmtId="49" fontId="0" fillId="0" borderId="6" xfId="0" applyNumberFormat="1" applyFont="1" applyFill="1" applyBorder="1"/>
    <xf numFmtId="2" fontId="0" fillId="18" borderId="10" xfId="0" applyNumberFormat="1" applyFill="1" applyBorder="1"/>
    <xf numFmtId="2" fontId="0" fillId="18" borderId="5" xfId="0" applyNumberFormat="1" applyFill="1" applyBorder="1"/>
    <xf numFmtId="2" fontId="0" fillId="18" borderId="0" xfId="0" applyNumberFormat="1" applyFill="1" applyBorder="1"/>
    <xf numFmtId="2" fontId="0" fillId="18" borderId="14" xfId="0" applyNumberFormat="1" applyFill="1" applyBorder="1"/>
    <xf numFmtId="2" fontId="0" fillId="18" borderId="13" xfId="0" applyNumberFormat="1" applyFill="1" applyBorder="1"/>
    <xf numFmtId="2" fontId="0" fillId="14" borderId="14" xfId="0" applyNumberFormat="1" applyFont="1" applyFill="1" applyBorder="1"/>
    <xf numFmtId="2" fontId="0" fillId="14" borderId="0" xfId="0" applyNumberFormat="1" applyFill="1"/>
    <xf numFmtId="2" fontId="0" fillId="0" borderId="0" xfId="0" applyNumberFormat="1" applyFill="1"/>
    <xf numFmtId="49" fontId="0" fillId="0" borderId="1" xfId="0" applyNumberFormat="1" applyFont="1" applyFill="1" applyBorder="1"/>
    <xf numFmtId="49" fontId="0" fillId="0" borderId="4" xfId="0" applyNumberFormat="1" applyFont="1" applyFill="1" applyBorder="1"/>
    <xf numFmtId="0" fontId="0" fillId="26" borderId="0" xfId="0" applyFill="1"/>
    <xf numFmtId="0" fontId="0" fillId="26" borderId="3" xfId="0" applyFill="1" applyBorder="1"/>
    <xf numFmtId="1" fontId="0" fillId="26" borderId="7" xfId="0" applyNumberFormat="1" applyFill="1" applyBorder="1" applyAlignment="1">
      <alignment horizontal="right"/>
    </xf>
    <xf numFmtId="1" fontId="0" fillId="26" borderId="3" xfId="0" applyNumberFormat="1" applyFill="1" applyBorder="1" applyAlignment="1">
      <alignment horizontal="right"/>
    </xf>
    <xf numFmtId="1" fontId="0" fillId="0" borderId="11" xfId="0" applyNumberFormat="1" applyBorder="1" applyAlignment="1">
      <alignment horizontal="left"/>
    </xf>
    <xf numFmtId="1" fontId="0" fillId="0" borderId="11" xfId="0" applyNumberFormat="1" applyFill="1" applyBorder="1" applyAlignment="1">
      <alignment horizontal="left"/>
    </xf>
    <xf numFmtId="164" fontId="0" fillId="0" borderId="10" xfId="0" applyNumberFormat="1" applyBorder="1"/>
    <xf numFmtId="164" fontId="0" fillId="0" borderId="15" xfId="0" applyNumberFormat="1" applyBorder="1"/>
    <xf numFmtId="164" fontId="0" fillId="17" borderId="15" xfId="0" applyNumberFormat="1" applyFill="1" applyBorder="1"/>
    <xf numFmtId="164" fontId="0" fillId="14" borderId="0" xfId="0" applyNumberFormat="1" applyFont="1" applyFill="1" applyBorder="1"/>
    <xf numFmtId="164" fontId="9" fillId="0" borderId="0" xfId="0" applyNumberFormat="1" applyFont="1" applyFill="1" applyBorder="1"/>
    <xf numFmtId="164" fontId="9" fillId="14" borderId="0" xfId="0" applyNumberFormat="1" applyFont="1" applyFill="1" applyBorder="1"/>
    <xf numFmtId="164" fontId="0" fillId="0" borderId="12" xfId="0" applyNumberFormat="1" applyBorder="1"/>
    <xf numFmtId="164" fontId="0" fillId="0" borderId="0" xfId="0" applyNumberFormat="1" applyFill="1" applyBorder="1"/>
    <xf numFmtId="0" fontId="1" fillId="27" borderId="2" xfId="0" applyFont="1" applyFill="1" applyBorder="1" applyAlignment="1">
      <alignment horizontal="center"/>
    </xf>
    <xf numFmtId="0" fontId="1" fillId="0" borderId="1" xfId="0" applyFont="1" applyBorder="1" applyAlignment="1">
      <alignment horizontal="center"/>
    </xf>
    <xf numFmtId="2" fontId="9" fillId="24" borderId="0" xfId="0" applyNumberFormat="1" applyFont="1" applyFill="1" applyBorder="1" applyAlignment="1">
      <alignment horizontal="right"/>
    </xf>
    <xf numFmtId="2" fontId="19" fillId="0" borderId="0" xfId="2" applyNumberFormat="1" applyFont="1" applyFill="1" applyBorder="1" applyAlignment="1">
      <alignment horizontal="right" wrapText="1"/>
    </xf>
    <xf numFmtId="2" fontId="9" fillId="24" borderId="12" xfId="0" applyNumberFormat="1" applyFont="1" applyFill="1" applyBorder="1" applyAlignment="1">
      <alignment horizontal="right"/>
    </xf>
    <xf numFmtId="2" fontId="0" fillId="0" borderId="0" xfId="0" applyNumberFormat="1" applyFont="1" applyBorder="1" applyAlignment="1">
      <alignment horizontal="right"/>
    </xf>
    <xf numFmtId="2" fontId="19" fillId="0" borderId="0" xfId="1" applyNumberFormat="1" applyFont="1" applyFill="1" applyBorder="1" applyAlignment="1">
      <alignment horizontal="right" wrapText="1"/>
    </xf>
    <xf numFmtId="2" fontId="19" fillId="14" borderId="0" xfId="1" applyNumberFormat="1" applyFont="1" applyFill="1" applyBorder="1" applyAlignment="1">
      <alignment horizontal="right" wrapText="1"/>
    </xf>
    <xf numFmtId="2" fontId="9" fillId="0" borderId="0" xfId="1" applyNumberFormat="1" applyFont="1" applyFill="1" applyBorder="1" applyAlignment="1">
      <alignment horizontal="right" wrapText="1"/>
    </xf>
    <xf numFmtId="2" fontId="0" fillId="0" borderId="15" xfId="0" applyNumberFormat="1" applyFont="1" applyBorder="1" applyAlignment="1">
      <alignment horizontal="right"/>
    </xf>
    <xf numFmtId="2" fontId="0" fillId="0" borderId="15" xfId="0" applyNumberFormat="1" applyFill="1" applyBorder="1" applyAlignment="1">
      <alignment horizontal="right"/>
    </xf>
    <xf numFmtId="2" fontId="0" fillId="0" borderId="12" xfId="0" applyNumberFormat="1" applyFill="1" applyBorder="1" applyAlignment="1">
      <alignment horizontal="right"/>
    </xf>
    <xf numFmtId="2" fontId="0" fillId="0" borderId="0" xfId="0" applyNumberFormat="1" applyFill="1" applyBorder="1" applyAlignment="1">
      <alignment horizontal="right"/>
    </xf>
    <xf numFmtId="0" fontId="0" fillId="14" borderId="11" xfId="0" applyFont="1" applyFill="1" applyBorder="1" applyAlignment="1">
      <alignment horizontal="center"/>
    </xf>
    <xf numFmtId="49" fontId="9" fillId="0" borderId="11" xfId="0" applyNumberFormat="1" applyFont="1" applyFill="1" applyBorder="1" applyAlignment="1">
      <alignment horizontal="center"/>
    </xf>
    <xf numFmtId="0" fontId="0" fillId="0" borderId="11" xfId="0" applyBorder="1" applyAlignment="1">
      <alignment horizontal="center"/>
    </xf>
    <xf numFmtId="0" fontId="0" fillId="14" borderId="11" xfId="0" applyFill="1" applyBorder="1" applyAlignment="1">
      <alignment horizontal="center"/>
    </xf>
    <xf numFmtId="0" fontId="9" fillId="14" borderId="11" xfId="0" applyFont="1" applyFill="1" applyBorder="1" applyAlignment="1">
      <alignment horizontal="center"/>
    </xf>
    <xf numFmtId="0" fontId="0" fillId="0" borderId="11" xfId="0" applyFill="1"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13" xfId="0" applyBorder="1" applyAlignment="1">
      <alignment horizontal="center"/>
    </xf>
    <xf numFmtId="0" fontId="0" fillId="0" borderId="9" xfId="0" applyBorder="1" applyAlignment="1">
      <alignment horizontal="center"/>
    </xf>
    <xf numFmtId="0" fontId="0" fillId="14" borderId="14" xfId="0" applyFont="1" applyFill="1" applyBorder="1" applyAlignment="1">
      <alignment horizontal="center"/>
    </xf>
    <xf numFmtId="49" fontId="9" fillId="0" borderId="14" xfId="0" applyNumberFormat="1" applyFont="1" applyFill="1" applyBorder="1" applyAlignment="1">
      <alignment horizontal="center"/>
    </xf>
    <xf numFmtId="0" fontId="0" fillId="0" borderId="14" xfId="0" applyBorder="1" applyAlignment="1">
      <alignment horizontal="center"/>
    </xf>
    <xf numFmtId="0" fontId="0" fillId="14" borderId="14" xfId="0" applyFill="1" applyBorder="1" applyAlignment="1">
      <alignment horizontal="center"/>
    </xf>
    <xf numFmtId="0" fontId="9" fillId="14" borderId="14" xfId="0" applyFont="1" applyFill="1" applyBorder="1" applyAlignment="1">
      <alignment horizontal="center"/>
    </xf>
    <xf numFmtId="0" fontId="0" fillId="0" borderId="14" xfId="0" applyFill="1"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2" fontId="0" fillId="8" borderId="7" xfId="0" applyNumberFormat="1" applyFill="1" applyBorder="1"/>
    <xf numFmtId="2" fontId="0" fillId="8" borderId="8" xfId="0" applyNumberFormat="1" applyFill="1" applyBorder="1"/>
    <xf numFmtId="49" fontId="0" fillId="20" borderId="13" xfId="0" applyNumberFormat="1" applyFill="1" applyBorder="1"/>
    <xf numFmtId="49" fontId="0" fillId="20" borderId="9" xfId="0" applyNumberFormat="1" applyFill="1" applyBorder="1"/>
    <xf numFmtId="49" fontId="0" fillId="18" borderId="9" xfId="0" applyNumberFormat="1" applyFill="1" applyBorder="1"/>
    <xf numFmtId="49" fontId="0" fillId="18" borderId="8" xfId="0" applyNumberFormat="1" applyFill="1" applyBorder="1"/>
    <xf numFmtId="2" fontId="0" fillId="8" borderId="13" xfId="0" applyNumberFormat="1" applyFill="1" applyBorder="1"/>
    <xf numFmtId="2" fontId="0" fillId="8" borderId="14" xfId="0" applyNumberFormat="1" applyFill="1" applyBorder="1"/>
    <xf numFmtId="2" fontId="0" fillId="8" borderId="11" xfId="0" applyNumberFormat="1" applyFill="1" applyBorder="1"/>
    <xf numFmtId="2" fontId="0" fillId="14" borderId="11" xfId="0" applyNumberFormat="1" applyFont="1" applyFill="1" applyBorder="1"/>
    <xf numFmtId="2" fontId="0" fillId="8" borderId="3" xfId="0" applyNumberFormat="1" applyFill="1" applyBorder="1"/>
    <xf numFmtId="1" fontId="0" fillId="8" borderId="10" xfId="0" applyNumberFormat="1" applyFill="1" applyBorder="1"/>
    <xf numFmtId="1" fontId="0" fillId="8" borderId="0" xfId="0" applyNumberFormat="1" applyFill="1" applyBorder="1"/>
    <xf numFmtId="1" fontId="0" fillId="8" borderId="1" xfId="0" applyNumberFormat="1" applyFill="1" applyBorder="1"/>
    <xf numFmtId="1" fontId="0" fillId="0" borderId="0" xfId="0" applyNumberFormat="1" applyFont="1" applyBorder="1"/>
    <xf numFmtId="1" fontId="0" fillId="15" borderId="0" xfId="0" applyNumberFormat="1" applyFill="1" applyBorder="1"/>
    <xf numFmtId="1" fontId="0" fillId="14" borderId="0" xfId="0" applyNumberFormat="1" applyFill="1" applyBorder="1"/>
    <xf numFmtId="1" fontId="0" fillId="8" borderId="15" xfId="0" applyNumberFormat="1" applyFill="1" applyBorder="1"/>
    <xf numFmtId="1" fontId="0" fillId="8" borderId="12" xfId="0" applyNumberFormat="1" applyFill="1" applyBorder="1"/>
    <xf numFmtId="49" fontId="1" fillId="7" borderId="2" xfId="0" applyNumberFormat="1" applyFont="1" applyFill="1" applyBorder="1" applyAlignment="1">
      <alignment horizontal="right"/>
    </xf>
    <xf numFmtId="1" fontId="10" fillId="14" borderId="0" xfId="0" applyNumberFormat="1" applyFont="1" applyFill="1" applyBorder="1" applyAlignment="1">
      <alignment horizontal="right"/>
    </xf>
    <xf numFmtId="0" fontId="10" fillId="14" borderId="0" xfId="0" applyFont="1" applyFill="1"/>
    <xf numFmtId="1" fontId="9" fillId="0" borderId="2" xfId="0" applyNumberFormat="1" applyFont="1" applyBorder="1" applyAlignment="1">
      <alignment horizontal="right"/>
    </xf>
    <xf numFmtId="1" fontId="9" fillId="10" borderId="2" xfId="0" applyNumberFormat="1" applyFont="1" applyFill="1" applyBorder="1" applyAlignment="1">
      <alignment horizontal="right"/>
    </xf>
    <xf numFmtId="1" fontId="0" fillId="10" borderId="2" xfId="0" applyNumberFormat="1" applyFill="1" applyBorder="1" applyAlignment="1">
      <alignment horizontal="right"/>
    </xf>
    <xf numFmtId="1" fontId="10" fillId="0" borderId="2" xfId="0" applyNumberFormat="1" applyFont="1" applyBorder="1" applyAlignment="1">
      <alignment horizontal="right"/>
    </xf>
    <xf numFmtId="1" fontId="0" fillId="0" borderId="2" xfId="0" applyNumberFormat="1" applyBorder="1" applyAlignment="1">
      <alignment horizontal="right"/>
    </xf>
    <xf numFmtId="1" fontId="10" fillId="10" borderId="2" xfId="0" applyNumberFormat="1" applyFont="1" applyFill="1" applyBorder="1" applyAlignment="1">
      <alignment horizontal="right"/>
    </xf>
    <xf numFmtId="1" fontId="0" fillId="0" borderId="0" xfId="0" applyNumberFormat="1" applyBorder="1" applyAlignment="1">
      <alignment horizontal="right"/>
    </xf>
    <xf numFmtId="1" fontId="0" fillId="0" borderId="0" xfId="0" applyNumberFormat="1" applyFill="1" applyBorder="1" applyAlignment="1">
      <alignment horizontal="right"/>
    </xf>
    <xf numFmtId="1" fontId="0" fillId="10" borderId="2" xfId="0" applyNumberFormat="1" applyFill="1" applyBorder="1"/>
    <xf numFmtId="1" fontId="0" fillId="0" borderId="0" xfId="0" applyNumberFormat="1"/>
    <xf numFmtId="1" fontId="10" fillId="14" borderId="0" xfId="0" applyNumberFormat="1" applyFont="1" applyFill="1"/>
    <xf numFmtId="2" fontId="0" fillId="20" borderId="11" xfId="0" applyNumberFormat="1" applyFill="1" applyBorder="1"/>
    <xf numFmtId="2" fontId="0" fillId="20" borderId="1" xfId="0" applyNumberFormat="1" applyFill="1" applyBorder="1"/>
    <xf numFmtId="2" fontId="0" fillId="20" borderId="8" xfId="0" applyNumberFormat="1" applyFill="1" applyBorder="1"/>
    <xf numFmtId="2" fontId="0" fillId="0" borderId="2" xfId="0" applyNumberFormat="1" applyBorder="1"/>
    <xf numFmtId="14" fontId="9" fillId="24" borderId="0" xfId="0" applyNumberFormat="1" applyFont="1" applyFill="1" applyBorder="1" applyAlignment="1">
      <alignment horizontal="right"/>
    </xf>
    <xf numFmtId="14" fontId="9" fillId="24" borderId="12" xfId="0" applyNumberFormat="1" applyFont="1" applyFill="1" applyBorder="1" applyAlignment="1">
      <alignment horizontal="right"/>
    </xf>
    <xf numFmtId="14" fontId="9" fillId="14" borderId="0" xfId="0" applyNumberFormat="1" applyFont="1" applyFill="1" applyBorder="1" applyAlignment="1">
      <alignment horizontal="right"/>
    </xf>
    <xf numFmtId="14" fontId="0" fillId="0" borderId="0" xfId="0" applyNumberFormat="1" applyFont="1" applyFill="1" applyBorder="1" applyAlignment="1">
      <alignment horizontal="right"/>
    </xf>
    <xf numFmtId="14" fontId="19" fillId="14" borderId="0" xfId="1" applyNumberFormat="1" applyFont="1" applyFill="1" applyBorder="1" applyAlignment="1">
      <alignment horizontal="right" wrapText="1"/>
    </xf>
    <xf numFmtId="14" fontId="9" fillId="0" borderId="0" xfId="1" applyNumberFormat="1" applyFont="1" applyFill="1" applyBorder="1" applyAlignment="1">
      <alignment horizontal="right" wrapText="1"/>
    </xf>
    <xf numFmtId="14" fontId="0" fillId="0" borderId="15" xfId="0" applyNumberFormat="1" applyFont="1" applyBorder="1" applyAlignment="1">
      <alignment horizontal="right"/>
    </xf>
    <xf numFmtId="14" fontId="0" fillId="0" borderId="15" xfId="0" applyNumberFormat="1" applyFill="1" applyBorder="1" applyAlignment="1">
      <alignment horizontal="right"/>
    </xf>
    <xf numFmtId="14" fontId="0" fillId="0" borderId="12" xfId="0" applyNumberFormat="1" applyFill="1" applyBorder="1" applyAlignment="1">
      <alignment horizontal="right"/>
    </xf>
    <xf numFmtId="14" fontId="0" fillId="0" borderId="0" xfId="0" applyNumberFormat="1" applyBorder="1" applyAlignment="1">
      <alignment horizontal="right"/>
    </xf>
    <xf numFmtId="14" fontId="0" fillId="0" borderId="0" xfId="0" applyNumberFormat="1" applyFill="1" applyBorder="1" applyAlignment="1">
      <alignment horizontal="right"/>
    </xf>
    <xf numFmtId="14" fontId="0" fillId="0" borderId="0" xfId="0" applyNumberFormat="1" applyFont="1" applyFill="1" applyAlignment="1">
      <alignment horizontal="right"/>
    </xf>
    <xf numFmtId="0" fontId="1" fillId="0" borderId="23" xfId="0" applyFont="1" applyBorder="1"/>
    <xf numFmtId="14" fontId="19" fillId="0" borderId="24" xfId="2" applyNumberFormat="1" applyFont="1" applyFill="1" applyBorder="1" applyAlignment="1">
      <alignment horizontal="right" wrapText="1"/>
    </xf>
    <xf numFmtId="1" fontId="19" fillId="0" borderId="25" xfId="2" applyNumberFormat="1" applyFont="1" applyFill="1" applyBorder="1" applyAlignment="1">
      <alignment horizontal="right" wrapText="1"/>
    </xf>
    <xf numFmtId="1" fontId="19" fillId="0" borderId="25" xfId="2" applyNumberFormat="1" applyFont="1" applyFill="1" applyBorder="1" applyAlignment="1">
      <alignment wrapText="1"/>
    </xf>
    <xf numFmtId="0" fontId="26" fillId="0" borderId="0" xfId="7" applyFont="1" applyFill="1" applyBorder="1" applyAlignment="1">
      <alignment horizontal="left" wrapText="1"/>
    </xf>
    <xf numFmtId="14" fontId="9" fillId="0" borderId="0" xfId="8" applyNumberFormat="1" applyFont="1" applyFill="1" applyBorder="1" applyAlignment="1">
      <alignment horizontal="left"/>
    </xf>
    <xf numFmtId="49" fontId="9" fillId="0" borderId="0" xfId="8" applyNumberFormat="1" applyFont="1" applyFill="1" applyBorder="1" applyAlignment="1">
      <alignment horizontal="left"/>
    </xf>
    <xf numFmtId="14" fontId="9" fillId="0" borderId="0" xfId="0" applyNumberFormat="1" applyFont="1" applyFill="1" applyBorder="1" applyAlignment="1">
      <alignment horizontal="left"/>
    </xf>
    <xf numFmtId="0" fontId="9" fillId="0" borderId="0" xfId="0" applyFont="1" applyFill="1" applyBorder="1" applyAlignment="1">
      <alignment horizontal="left"/>
    </xf>
    <xf numFmtId="49" fontId="9" fillId="0" borderId="0" xfId="0" applyNumberFormat="1" applyFont="1" applyFill="1" applyBorder="1" applyAlignment="1">
      <alignment horizontal="left"/>
    </xf>
    <xf numFmtId="164" fontId="9" fillId="0" borderId="0" xfId="0" applyNumberFormat="1" applyFont="1" applyFill="1" applyBorder="1" applyAlignment="1">
      <alignment horizontal="left"/>
    </xf>
    <xf numFmtId="14" fontId="9" fillId="24" borderId="12" xfId="0" applyNumberFormat="1" applyFont="1" applyFill="1" applyBorder="1" applyAlignment="1">
      <alignment horizontal="left"/>
    </xf>
    <xf numFmtId="49" fontId="9" fillId="24" borderId="12" xfId="0" applyNumberFormat="1" applyFont="1" applyFill="1" applyBorder="1" applyAlignment="1">
      <alignment horizontal="left"/>
    </xf>
    <xf numFmtId="14" fontId="26" fillId="0" borderId="0" xfId="7" applyNumberFormat="1" applyFont="1" applyFill="1" applyBorder="1" applyAlignment="1">
      <alignment horizontal="left" wrapText="1"/>
    </xf>
    <xf numFmtId="0" fontId="9" fillId="0" borderId="23" xfId="0" applyFont="1" applyBorder="1"/>
    <xf numFmtId="49" fontId="1" fillId="11" borderId="26" xfId="0" applyNumberFormat="1" applyFont="1" applyFill="1" applyBorder="1"/>
    <xf numFmtId="0" fontId="4" fillId="0" borderId="26" xfId="0" applyFont="1" applyBorder="1"/>
    <xf numFmtId="0" fontId="0" fillId="0" borderId="26" xfId="0" applyBorder="1"/>
    <xf numFmtId="2" fontId="1" fillId="0" borderId="26" xfId="0" applyNumberFormat="1" applyFont="1" applyBorder="1"/>
    <xf numFmtId="0" fontId="0" fillId="0" borderId="26" xfId="0" applyFill="1" applyBorder="1"/>
    <xf numFmtId="49" fontId="5" fillId="0" borderId="26" xfId="0" applyNumberFormat="1" applyFont="1" applyBorder="1"/>
    <xf numFmtId="49" fontId="11" fillId="0" borderId="26" xfId="0" applyNumberFormat="1" applyFont="1" applyBorder="1"/>
    <xf numFmtId="49" fontId="1" fillId="2" borderId="26" xfId="0" applyNumberFormat="1" applyFont="1" applyFill="1" applyBorder="1"/>
    <xf numFmtId="0" fontId="1" fillId="12" borderId="26" xfId="0" applyFont="1" applyFill="1" applyBorder="1"/>
    <xf numFmtId="0" fontId="0" fillId="12" borderId="26" xfId="0" applyFill="1" applyBorder="1"/>
    <xf numFmtId="0" fontId="1" fillId="3" borderId="26" xfId="0" applyFont="1" applyFill="1" applyBorder="1"/>
    <xf numFmtId="2" fontId="1" fillId="3" borderId="26" xfId="0" applyNumberFormat="1" applyFont="1" applyFill="1" applyBorder="1"/>
    <xf numFmtId="0" fontId="1" fillId="0" borderId="26" xfId="0" applyFont="1" applyFill="1" applyBorder="1"/>
    <xf numFmtId="0" fontId="0" fillId="12" borderId="26" xfId="0" applyFont="1" applyFill="1" applyBorder="1"/>
    <xf numFmtId="0" fontId="1" fillId="0" borderId="26" xfId="0" applyFont="1" applyBorder="1"/>
    <xf numFmtId="0" fontId="0" fillId="0" borderId="26" xfId="0" applyFont="1" applyBorder="1"/>
    <xf numFmtId="0" fontId="10" fillId="0" borderId="26" xfId="0" applyFont="1" applyBorder="1"/>
    <xf numFmtId="2" fontId="18" fillId="0" borderId="26" xfId="0" applyNumberFormat="1" applyFont="1" applyBorder="1"/>
    <xf numFmtId="0" fontId="9" fillId="0" borderId="26" xfId="0" applyFont="1" applyBorder="1"/>
    <xf numFmtId="2" fontId="2" fillId="0" borderId="26" xfId="0" applyNumberFormat="1" applyFont="1" applyBorder="1"/>
    <xf numFmtId="0" fontId="0" fillId="21" borderId="1" xfId="0" applyFill="1" applyBorder="1" applyAlignment="1">
      <alignment horizontal="center"/>
    </xf>
  </cellXfs>
  <cellStyles count="9">
    <cellStyle name="Followed Hyperlink" xfId="4" builtinId="9" hidden="1"/>
    <cellStyle name="Followed Hyperlink" xfId="6" builtinId="9" hidden="1"/>
    <cellStyle name="Hyperlink" xfId="3" builtinId="8" hidden="1"/>
    <cellStyle name="Hyperlink" xfId="5" builtinId="8" hidden="1"/>
    <cellStyle name="Hyperlink" xfId="8" builtinId="8"/>
    <cellStyle name="Normal" xfId="0" builtinId="0"/>
    <cellStyle name="Normal_Sheet1" xfId="1" xr:uid="{00000000-0005-0000-0000-000006000000}"/>
    <cellStyle name="Normal_Sheet1_1" xfId="2" xr:uid="{00000000-0005-0000-0000-000007000000}"/>
    <cellStyle name="Normal_Sheet2" xfId="7" xr:uid="{00000000-0005-0000-0000-000008000000}"/>
  </cellStyles>
  <dxfs count="0"/>
  <tableStyles count="0" defaultTableStyle="TableStyleMedium2" defaultPivotStyle="PivotStyleLight16"/>
  <colors>
    <mruColors>
      <color rgb="FFFF6699"/>
      <color rgb="FF8999FF"/>
      <color rgb="FF66FFFF"/>
      <color rgb="FF89A5FF"/>
      <color rgb="FF9999FF"/>
      <color rgb="FF33CCFF"/>
      <color rgb="FFCC99FF"/>
      <color rgb="FFFF99FF"/>
      <color rgb="FF1171FF"/>
      <color rgb="FF006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T85"/>
  <sheetViews>
    <sheetView tabSelected="1" topLeftCell="A55" zoomScaleNormal="100" workbookViewId="0">
      <pane xSplit="1" topLeftCell="B1" activePane="topRight" state="frozen"/>
      <selection activeCell="B3" sqref="B3:M4"/>
      <selection pane="topRight" activeCell="I60" sqref="I60"/>
    </sheetView>
  </sheetViews>
  <sheetFormatPr baseColWidth="10" defaultColWidth="8.83203125" defaultRowHeight="15" x14ac:dyDescent="0.2"/>
  <cols>
    <col min="1" max="1" width="10.5" style="216" bestFit="1" customWidth="1"/>
    <col min="2" max="2" width="28.5" style="595" bestFit="1" customWidth="1"/>
    <col min="3" max="3" width="9.6640625" style="595" bestFit="1" customWidth="1"/>
    <col min="4" max="4" width="17.5" style="158" bestFit="1" customWidth="1"/>
    <col min="5" max="5" width="18.5" style="605" bestFit="1" customWidth="1"/>
    <col min="6" max="6" width="7.5" style="16" bestFit="1" customWidth="1"/>
    <col min="7" max="7" width="8.5" style="5" bestFit="1" customWidth="1"/>
    <col min="8" max="8" width="10.6640625" style="16" bestFit="1" customWidth="1"/>
    <col min="9" max="9" width="11.1640625" style="16" bestFit="1" customWidth="1"/>
    <col min="10" max="12" width="11.1640625" style="16" customWidth="1"/>
    <col min="13" max="13" width="5.5" style="16" bestFit="1" customWidth="1"/>
    <col min="14" max="14" width="6.6640625" style="226" customWidth="1"/>
    <col min="15" max="15" width="6.5" style="90" customWidth="1"/>
    <col min="16" max="16" width="5" style="16" bestFit="1" customWidth="1"/>
    <col min="17" max="17" width="5" style="16" customWidth="1"/>
    <col min="18" max="18" width="10.5" style="16" bestFit="1" customWidth="1"/>
    <col min="19" max="19" width="10.5" style="16" customWidth="1"/>
    <col min="20" max="21" width="11.5" style="16" bestFit="1" customWidth="1"/>
    <col min="22" max="23" width="7.83203125" style="16" customWidth="1"/>
    <col min="24" max="24" width="6.83203125" style="16" bestFit="1" customWidth="1"/>
    <col min="25" max="25" width="6.83203125" style="16" customWidth="1"/>
    <col min="26" max="26" width="10.83203125" style="484" customWidth="1"/>
    <col min="27" max="27" width="9.5" style="16" bestFit="1" customWidth="1"/>
    <col min="28" max="28" width="8.1640625" style="30" bestFit="1" customWidth="1"/>
    <col min="29" max="29" width="8.1640625" style="508" customWidth="1"/>
    <col min="30" max="30" width="8" style="508" bestFit="1" customWidth="1"/>
    <col min="31" max="31" width="8" style="508" customWidth="1"/>
    <col min="32" max="35" width="8" style="30" customWidth="1"/>
    <col min="36" max="36" width="10.6640625" style="16" bestFit="1" customWidth="1"/>
    <col min="37" max="37" width="10.6640625" style="508" customWidth="1"/>
    <col min="38" max="38" width="8.83203125" style="16"/>
    <col min="39" max="40" width="8.83203125" style="91"/>
    <col min="41" max="41" width="10.5" style="91" customWidth="1"/>
    <col min="42" max="42" width="12" style="91" customWidth="1"/>
    <col min="43" max="45" width="12" style="107" customWidth="1"/>
    <col min="46" max="46" width="13" style="5" customWidth="1"/>
    <col min="47" max="47" width="13.83203125" style="16" bestFit="1" customWidth="1"/>
    <col min="48" max="48" width="18.83203125" style="16" bestFit="1" customWidth="1"/>
    <col min="49" max="49" width="15.83203125" style="16" bestFit="1" customWidth="1"/>
    <col min="50" max="50" width="18.5" style="16" bestFit="1" customWidth="1"/>
    <col min="51" max="51" width="14.5" style="74" customWidth="1"/>
    <col min="52" max="52" width="14.5" style="30" customWidth="1"/>
    <col min="53" max="54" width="19.5" style="30" customWidth="1"/>
    <col min="55" max="55" width="16.33203125" style="90" bestFit="1" customWidth="1"/>
    <col min="56" max="56" width="16.33203125" style="508" customWidth="1"/>
    <col min="57" max="57" width="13.5" style="30" bestFit="1" customWidth="1"/>
    <col min="58" max="58" width="13.5" style="107" customWidth="1"/>
    <col min="59" max="59" width="11" style="108" bestFit="1" customWidth="1"/>
    <col min="60" max="60" width="11.5" style="74" bestFit="1" customWidth="1"/>
    <col min="61" max="61" width="11.5" style="30" bestFit="1" customWidth="1"/>
    <col min="62" max="62" width="8.5" style="30" bestFit="1" customWidth="1"/>
    <col min="63" max="63" width="9.5" style="30" customWidth="1"/>
    <col min="64" max="65" width="11.5" style="30" bestFit="1" customWidth="1"/>
    <col min="66" max="66" width="8.5" style="30" bestFit="1" customWidth="1"/>
    <col min="67" max="67" width="9.5" style="30" customWidth="1"/>
    <col min="68" max="69" width="12.6640625" style="30" bestFit="1" customWidth="1"/>
    <col min="70" max="71" width="9.5" style="30" bestFit="1" customWidth="1"/>
    <col min="72" max="72" width="11.5" style="30" bestFit="1" customWidth="1"/>
    <col min="73" max="73" width="11.5" style="107" bestFit="1" customWidth="1"/>
    <col min="74" max="75" width="11.5" style="193" bestFit="1" customWidth="1"/>
    <col min="76" max="76" width="9.6640625" style="193" customWidth="1"/>
    <col min="77" max="77" width="8.83203125" style="193"/>
    <col min="78" max="79" width="11.5" style="193" bestFit="1" customWidth="1"/>
    <col min="80" max="81" width="8.83203125" style="193"/>
    <col min="82" max="83" width="12.6640625" style="193" bestFit="1" customWidth="1"/>
    <col min="84" max="85" width="8.83203125" style="193"/>
    <col min="86" max="86" width="11.5" style="193" bestFit="1" customWidth="1"/>
    <col min="87" max="87" width="11.5" style="107" bestFit="1" customWidth="1"/>
    <col min="88" max="88" width="15.1640625" style="247" bestFit="1" customWidth="1"/>
    <col min="89" max="89" width="22.5" style="247" bestFit="1" customWidth="1"/>
    <col min="90" max="90" width="27.5" style="323" bestFit="1" customWidth="1"/>
    <col min="91" max="91" width="22.6640625" style="247" bestFit="1" customWidth="1"/>
    <col min="92" max="92" width="42.5" style="310" bestFit="1" customWidth="1"/>
    <col min="93" max="93" width="22.5" style="247" bestFit="1" customWidth="1"/>
    <col min="94" max="94" width="32.6640625" style="323" customWidth="1"/>
    <col min="95" max="95" width="22.6640625" style="247" bestFit="1" customWidth="1"/>
    <col min="96" max="96" width="55.33203125" style="310" bestFit="1" customWidth="1"/>
    <col min="97" max="97" width="22.5" style="247" bestFit="1" customWidth="1"/>
    <col min="98" max="98" width="27.5" style="323" bestFit="1" customWidth="1"/>
    <col min="99" max="99" width="22.6640625" style="247" bestFit="1" customWidth="1"/>
    <col min="100" max="100" width="66.33203125" style="310" bestFit="1" customWidth="1"/>
    <col min="101" max="101" width="20.1640625" style="247" bestFit="1" customWidth="1"/>
    <col min="102" max="102" width="27.6640625" style="323" bestFit="1" customWidth="1"/>
    <col min="103" max="103" width="22.6640625" style="247" bestFit="1" customWidth="1"/>
    <col min="104" max="104" width="49.83203125" style="310" bestFit="1" customWidth="1"/>
    <col min="105" max="108" width="22.6640625" style="310" customWidth="1"/>
    <col min="109" max="109" width="8.83203125" style="356" customWidth="1"/>
    <col min="110" max="110" width="10.6640625" style="16" bestFit="1" customWidth="1"/>
    <col min="111" max="111" width="15.33203125" style="287" bestFit="1" customWidth="1"/>
    <col min="112" max="112" width="15.33203125" style="659" customWidth="1"/>
    <col min="113" max="113" width="10.6640625" style="175" bestFit="1" customWidth="1"/>
    <col min="114" max="114" width="11.5" bestFit="1" customWidth="1"/>
    <col min="115" max="115" width="12.5" bestFit="1" customWidth="1"/>
    <col min="116" max="116" width="10.6640625" bestFit="1" customWidth="1"/>
    <col min="120" max="120" width="6.83203125" customWidth="1"/>
  </cols>
  <sheetData>
    <row r="1" spans="1:122" x14ac:dyDescent="0.2">
      <c r="A1" s="217"/>
      <c r="B1" s="154"/>
      <c r="C1" s="600"/>
      <c r="D1" s="611"/>
      <c r="E1" s="601"/>
      <c r="F1" s="43"/>
      <c r="G1" s="110" t="s">
        <v>139</v>
      </c>
      <c r="H1" s="43"/>
      <c r="I1" s="43"/>
      <c r="J1" s="43"/>
      <c r="K1" s="43"/>
      <c r="L1" s="43"/>
      <c r="M1" s="43"/>
      <c r="N1" s="572"/>
      <c r="O1" s="94" t="s">
        <v>54</v>
      </c>
      <c r="P1" s="95"/>
      <c r="Q1" s="95"/>
      <c r="R1" s="95"/>
      <c r="S1" s="95"/>
      <c r="T1" s="95"/>
      <c r="U1" s="95"/>
      <c r="V1" s="95"/>
      <c r="W1" s="95"/>
      <c r="X1" s="95"/>
      <c r="Y1" s="95"/>
      <c r="Z1" s="479"/>
      <c r="AA1" s="95"/>
      <c r="AB1" s="171"/>
      <c r="AC1" s="501"/>
      <c r="AD1" s="501"/>
      <c r="AE1" s="501"/>
      <c r="AF1" s="171"/>
      <c r="AG1" s="171"/>
      <c r="AH1" s="171"/>
      <c r="AI1" s="171"/>
      <c r="AJ1" s="95"/>
      <c r="AK1" s="501"/>
      <c r="AL1" s="174"/>
      <c r="AM1" s="174"/>
      <c r="AN1" s="468" t="s">
        <v>608</v>
      </c>
      <c r="AO1" s="468"/>
      <c r="AP1" s="468"/>
      <c r="AQ1" s="646" t="s">
        <v>803</v>
      </c>
      <c r="AR1" s="421"/>
      <c r="AS1" s="421"/>
      <c r="AT1" s="140" t="s">
        <v>131</v>
      </c>
      <c r="AU1" s="97"/>
      <c r="AV1" s="97"/>
      <c r="AW1" s="97"/>
      <c r="AX1" s="97"/>
      <c r="AY1" s="621"/>
      <c r="AZ1" s="177"/>
      <c r="BA1" s="177"/>
      <c r="BB1" s="177"/>
      <c r="BC1" s="96" t="s">
        <v>132</v>
      </c>
      <c r="BD1" s="624"/>
      <c r="BE1" s="177"/>
      <c r="BF1" s="619"/>
      <c r="BG1" s="615" t="s">
        <v>96</v>
      </c>
      <c r="BH1" s="181" t="s">
        <v>135</v>
      </c>
      <c r="BI1" s="181"/>
      <c r="BJ1" s="181"/>
      <c r="BK1" s="181"/>
      <c r="BL1" s="182" t="s">
        <v>136</v>
      </c>
      <c r="BM1" s="181"/>
      <c r="BN1" s="181"/>
      <c r="BO1" s="181"/>
      <c r="BP1" s="182" t="s">
        <v>137</v>
      </c>
      <c r="BQ1" s="181"/>
      <c r="BR1" s="181"/>
      <c r="BS1" s="181"/>
      <c r="BT1" s="421"/>
      <c r="BU1" s="422"/>
      <c r="BV1" s="181" t="s">
        <v>135</v>
      </c>
      <c r="BW1" s="181"/>
      <c r="BX1" s="181"/>
      <c r="BY1" s="181"/>
      <c r="BZ1" s="182" t="s">
        <v>136</v>
      </c>
      <c r="CA1" s="181"/>
      <c r="CB1" s="181"/>
      <c r="CC1" s="181"/>
      <c r="CD1" s="182" t="s">
        <v>137</v>
      </c>
      <c r="CE1" s="181"/>
      <c r="CF1" s="181"/>
      <c r="CG1" s="181"/>
      <c r="CH1" s="421"/>
      <c r="CI1" s="422"/>
      <c r="CJ1" s="329" t="s">
        <v>130</v>
      </c>
      <c r="CK1" s="304"/>
      <c r="CL1" s="334"/>
      <c r="CM1" s="329"/>
      <c r="CN1" s="249"/>
      <c r="CO1" s="249"/>
      <c r="CP1" s="334"/>
      <c r="CQ1" s="329"/>
      <c r="CR1" s="249"/>
      <c r="CS1" s="249"/>
      <c r="CT1" s="334"/>
      <c r="CU1" s="329"/>
      <c r="CV1" s="249"/>
      <c r="CW1" s="249"/>
      <c r="CX1" s="334"/>
      <c r="CY1" s="330" t="s">
        <v>338</v>
      </c>
      <c r="CZ1" s="249"/>
      <c r="DA1" s="249"/>
      <c r="DB1" s="328"/>
      <c r="DC1" s="249"/>
      <c r="DD1" s="328"/>
      <c r="DE1" s="353"/>
      <c r="DF1" s="281" t="s">
        <v>53</v>
      </c>
      <c r="DG1" s="582"/>
      <c r="DH1" s="650"/>
      <c r="DI1" s="650"/>
      <c r="DJ1" s="650"/>
      <c r="DK1" s="650"/>
      <c r="DL1" s="650"/>
      <c r="DM1" s="277"/>
      <c r="DN1" s="253"/>
      <c r="DO1" s="253"/>
      <c r="DP1" s="253"/>
      <c r="DQ1" s="254"/>
      <c r="DR1" s="566"/>
    </row>
    <row r="2" spans="1:122" x14ac:dyDescent="0.2">
      <c r="A2" s="218" t="s">
        <v>73</v>
      </c>
      <c r="B2" s="155"/>
      <c r="C2" s="599"/>
      <c r="D2" s="537"/>
      <c r="E2" s="602"/>
      <c r="F2" s="133"/>
      <c r="G2" s="136"/>
      <c r="H2" s="133"/>
      <c r="I2" s="133"/>
      <c r="J2" s="133"/>
      <c r="K2" s="133"/>
      <c r="L2" s="133"/>
      <c r="M2" s="133"/>
      <c r="N2" s="573"/>
      <c r="O2" s="137"/>
      <c r="P2" s="138"/>
      <c r="Q2" s="138"/>
      <c r="R2" s="138"/>
      <c r="S2" s="138"/>
      <c r="T2" s="138"/>
      <c r="U2" s="138"/>
      <c r="V2" s="138"/>
      <c r="W2" s="138"/>
      <c r="X2" s="138"/>
      <c r="Y2" s="138"/>
      <c r="Z2" s="480"/>
      <c r="AA2" s="138"/>
      <c r="AB2" s="172"/>
      <c r="AC2" s="502"/>
      <c r="AD2" s="502"/>
      <c r="AE2" s="502"/>
      <c r="AF2" s="172"/>
      <c r="AG2" s="172"/>
      <c r="AH2" s="172"/>
      <c r="AI2" s="172"/>
      <c r="AJ2" s="138"/>
      <c r="AK2" s="502"/>
      <c r="AL2" s="174"/>
      <c r="AM2" s="138"/>
      <c r="AN2" s="469"/>
      <c r="AO2" s="469" t="s">
        <v>610</v>
      </c>
      <c r="AP2" s="469"/>
      <c r="AQ2" s="185"/>
      <c r="AR2" s="187" t="s">
        <v>807</v>
      </c>
      <c r="AS2" s="187"/>
      <c r="AT2" s="141"/>
      <c r="AU2" s="97"/>
      <c r="AV2" s="97"/>
      <c r="AW2" s="97"/>
      <c r="AX2" s="97"/>
      <c r="AY2" s="621"/>
      <c r="AZ2" s="177"/>
      <c r="BA2" s="177"/>
      <c r="BB2" s="177"/>
      <c r="BC2" s="140"/>
      <c r="BD2" s="625"/>
      <c r="BE2" s="177"/>
      <c r="BF2" s="620"/>
      <c r="BG2" s="616"/>
      <c r="BH2" s="181" t="s">
        <v>141</v>
      </c>
      <c r="BI2" s="183"/>
      <c r="BJ2" s="182" t="s">
        <v>142</v>
      </c>
      <c r="BK2" s="181"/>
      <c r="BL2" s="182" t="s">
        <v>141</v>
      </c>
      <c r="BM2" s="183"/>
      <c r="BN2" s="182" t="s">
        <v>142</v>
      </c>
      <c r="BO2" s="183"/>
      <c r="BP2" s="182" t="s">
        <v>141</v>
      </c>
      <c r="BQ2" s="183"/>
      <c r="BR2" s="182" t="s">
        <v>142</v>
      </c>
      <c r="BS2" s="181"/>
      <c r="BT2" s="181"/>
      <c r="BU2" s="183"/>
      <c r="BV2" s="181" t="s">
        <v>141</v>
      </c>
      <c r="BW2" s="183"/>
      <c r="BX2" s="182" t="s">
        <v>142</v>
      </c>
      <c r="BY2" s="181"/>
      <c r="BZ2" s="182" t="s">
        <v>141</v>
      </c>
      <c r="CA2" s="183"/>
      <c r="CB2" s="182" t="s">
        <v>142</v>
      </c>
      <c r="CC2" s="183"/>
      <c r="CD2" s="182" t="s">
        <v>141</v>
      </c>
      <c r="CE2" s="183"/>
      <c r="CF2" s="182" t="s">
        <v>142</v>
      </c>
      <c r="CG2" s="181"/>
      <c r="CH2" s="181"/>
      <c r="CI2" s="183"/>
      <c r="CJ2" s="332"/>
      <c r="CK2" s="303"/>
      <c r="CL2" s="335" t="s">
        <v>385</v>
      </c>
      <c r="CM2" s="328"/>
      <c r="CN2" s="337"/>
      <c r="CO2" s="337"/>
      <c r="CP2" s="335" t="s">
        <v>400</v>
      </c>
      <c r="CQ2" s="328"/>
      <c r="CR2" s="337"/>
      <c r="CS2" s="337"/>
      <c r="CT2" s="335" t="s">
        <v>550</v>
      </c>
      <c r="CU2" s="328"/>
      <c r="CV2" s="337"/>
      <c r="CW2" s="337"/>
      <c r="CX2" s="335" t="s">
        <v>563</v>
      </c>
      <c r="CY2" s="331"/>
      <c r="CZ2" s="337"/>
      <c r="DA2" s="337"/>
      <c r="DB2" s="328"/>
      <c r="DC2" s="337"/>
      <c r="DD2" s="328"/>
      <c r="DE2" s="354"/>
      <c r="DF2" s="253"/>
      <c r="DG2" s="582"/>
      <c r="DH2" s="650"/>
      <c r="DI2" s="650"/>
      <c r="DJ2" s="650"/>
      <c r="DK2" s="650"/>
      <c r="DL2" s="650"/>
      <c r="DM2" s="277"/>
      <c r="DN2" s="253"/>
      <c r="DO2" s="253"/>
      <c r="DP2" s="253"/>
      <c r="DQ2" s="254"/>
      <c r="DR2" s="566"/>
    </row>
    <row r="3" spans="1:122" s="92" customFormat="1" x14ac:dyDescent="0.2">
      <c r="A3" s="219" t="s">
        <v>37</v>
      </c>
      <c r="B3" s="305" t="s">
        <v>74</v>
      </c>
      <c r="C3" s="305" t="s">
        <v>722</v>
      </c>
      <c r="D3" s="156" t="s">
        <v>723</v>
      </c>
      <c r="E3" s="333" t="s">
        <v>724</v>
      </c>
      <c r="F3" s="132" t="s">
        <v>48</v>
      </c>
      <c r="G3" s="135" t="s">
        <v>49</v>
      </c>
      <c r="H3" s="134" t="s">
        <v>50</v>
      </c>
      <c r="I3" s="134" t="s">
        <v>51</v>
      </c>
      <c r="J3" s="134" t="s">
        <v>614</v>
      </c>
      <c r="K3" s="134" t="s">
        <v>827</v>
      </c>
      <c r="L3" s="134" t="s">
        <v>828</v>
      </c>
      <c r="M3" s="134" t="s">
        <v>52</v>
      </c>
      <c r="N3" s="574" t="s">
        <v>615</v>
      </c>
      <c r="O3" s="137" t="s">
        <v>632</v>
      </c>
      <c r="P3" s="138" t="s">
        <v>75</v>
      </c>
      <c r="Q3" s="138" t="s">
        <v>613</v>
      </c>
      <c r="R3" s="138" t="s">
        <v>140</v>
      </c>
      <c r="S3" s="138" t="s">
        <v>616</v>
      </c>
      <c r="T3" s="138" t="s">
        <v>505</v>
      </c>
      <c r="U3" s="138" t="s">
        <v>617</v>
      </c>
      <c r="V3" s="138" t="s">
        <v>504</v>
      </c>
      <c r="W3" s="138" t="s">
        <v>618</v>
      </c>
      <c r="X3" s="138" t="s">
        <v>76</v>
      </c>
      <c r="Y3" s="138" t="s">
        <v>619</v>
      </c>
      <c r="Z3" s="285" t="s">
        <v>626</v>
      </c>
      <c r="AA3" s="138" t="s">
        <v>620</v>
      </c>
      <c r="AB3" s="172" t="s">
        <v>77</v>
      </c>
      <c r="AC3" s="502" t="s">
        <v>621</v>
      </c>
      <c r="AD3" s="502" t="s">
        <v>78</v>
      </c>
      <c r="AE3" s="502" t="s">
        <v>622</v>
      </c>
      <c r="AF3" s="284" t="s">
        <v>331</v>
      </c>
      <c r="AG3" s="284" t="s">
        <v>734</v>
      </c>
      <c r="AH3" s="284" t="s">
        <v>332</v>
      </c>
      <c r="AI3" s="284" t="s">
        <v>733</v>
      </c>
      <c r="AJ3" s="285" t="s">
        <v>79</v>
      </c>
      <c r="AK3" s="503" t="s">
        <v>623</v>
      </c>
      <c r="AL3" s="474" t="s">
        <v>80</v>
      </c>
      <c r="AM3" s="173" t="s">
        <v>624</v>
      </c>
      <c r="AN3" s="470" t="s">
        <v>609</v>
      </c>
      <c r="AO3" s="471" t="s">
        <v>611</v>
      </c>
      <c r="AP3" s="518" t="s">
        <v>612</v>
      </c>
      <c r="AQ3" s="647" t="s">
        <v>804</v>
      </c>
      <c r="AR3" s="648" t="s">
        <v>805</v>
      </c>
      <c r="AS3" s="648" t="s">
        <v>806</v>
      </c>
      <c r="AT3" s="139" t="s">
        <v>133</v>
      </c>
      <c r="AU3" s="176" t="s">
        <v>81</v>
      </c>
      <c r="AV3" s="176" t="s">
        <v>82</v>
      </c>
      <c r="AW3" s="176" t="s">
        <v>83</v>
      </c>
      <c r="AX3" s="519" t="s">
        <v>84</v>
      </c>
      <c r="AY3" s="178" t="s">
        <v>165</v>
      </c>
      <c r="AZ3" s="178" t="s">
        <v>735</v>
      </c>
      <c r="BA3" s="178" t="s">
        <v>166</v>
      </c>
      <c r="BB3" s="178" t="s">
        <v>736</v>
      </c>
      <c r="BC3" s="176" t="s">
        <v>85</v>
      </c>
      <c r="BD3" s="626" t="s">
        <v>737</v>
      </c>
      <c r="BE3" s="178" t="s">
        <v>86</v>
      </c>
      <c r="BF3" s="178" t="s">
        <v>738</v>
      </c>
      <c r="BG3" s="184" t="s">
        <v>120</v>
      </c>
      <c r="BH3" s="185" t="s">
        <v>121</v>
      </c>
      <c r="BI3" s="186" t="s">
        <v>311</v>
      </c>
      <c r="BJ3" s="185" t="s">
        <v>122</v>
      </c>
      <c r="BK3" s="187" t="s">
        <v>123</v>
      </c>
      <c r="BL3" s="185" t="s">
        <v>124</v>
      </c>
      <c r="BM3" s="186" t="s">
        <v>310</v>
      </c>
      <c r="BN3" s="185" t="s">
        <v>125</v>
      </c>
      <c r="BO3" s="186" t="s">
        <v>126</v>
      </c>
      <c r="BP3" s="185" t="s">
        <v>127</v>
      </c>
      <c r="BQ3" s="186" t="s">
        <v>309</v>
      </c>
      <c r="BR3" s="185" t="s">
        <v>128</v>
      </c>
      <c r="BS3" s="187" t="s">
        <v>129</v>
      </c>
      <c r="BT3" s="187" t="s">
        <v>607</v>
      </c>
      <c r="BU3" s="187" t="s">
        <v>606</v>
      </c>
      <c r="BV3" s="185" t="s">
        <v>638</v>
      </c>
      <c r="BW3" s="186" t="s">
        <v>639</v>
      </c>
      <c r="BX3" s="185" t="s">
        <v>640</v>
      </c>
      <c r="BY3" s="187" t="s">
        <v>641</v>
      </c>
      <c r="BZ3" s="185" t="s">
        <v>642</v>
      </c>
      <c r="CA3" s="186" t="s">
        <v>643</v>
      </c>
      <c r="CB3" s="185" t="s">
        <v>644</v>
      </c>
      <c r="CC3" s="186" t="s">
        <v>645</v>
      </c>
      <c r="CD3" s="185" t="s">
        <v>646</v>
      </c>
      <c r="CE3" s="186" t="s">
        <v>647</v>
      </c>
      <c r="CF3" s="185" t="s">
        <v>648</v>
      </c>
      <c r="CG3" s="187" t="s">
        <v>649</v>
      </c>
      <c r="CH3" s="187" t="s">
        <v>650</v>
      </c>
      <c r="CI3" s="186" t="s">
        <v>651</v>
      </c>
      <c r="CJ3" s="250" t="s">
        <v>295</v>
      </c>
      <c r="CK3" s="305" t="s">
        <v>386</v>
      </c>
      <c r="CL3" s="336" t="s">
        <v>401</v>
      </c>
      <c r="CM3" s="332" t="s">
        <v>346</v>
      </c>
      <c r="CN3" s="156" t="s">
        <v>390</v>
      </c>
      <c r="CO3" s="156" t="s">
        <v>340</v>
      </c>
      <c r="CP3" s="336" t="s">
        <v>401</v>
      </c>
      <c r="CQ3" s="332" t="s">
        <v>339</v>
      </c>
      <c r="CR3" s="156" t="s">
        <v>390</v>
      </c>
      <c r="CS3" s="156" t="s">
        <v>341</v>
      </c>
      <c r="CT3" s="336" t="s">
        <v>401</v>
      </c>
      <c r="CU3" s="332" t="s">
        <v>342</v>
      </c>
      <c r="CV3" s="156" t="s">
        <v>390</v>
      </c>
      <c r="CW3" s="156" t="s">
        <v>343</v>
      </c>
      <c r="CX3" s="336" t="s">
        <v>401</v>
      </c>
      <c r="CY3" s="333" t="s">
        <v>344</v>
      </c>
      <c r="CZ3" s="156" t="s">
        <v>390</v>
      </c>
      <c r="DA3" s="156" t="s">
        <v>437</v>
      </c>
      <c r="DB3" s="332" t="s">
        <v>438</v>
      </c>
      <c r="DC3" s="156" t="s">
        <v>439</v>
      </c>
      <c r="DD3" s="332" t="s">
        <v>440</v>
      </c>
      <c r="DE3" s="355" t="s">
        <v>177</v>
      </c>
      <c r="DF3" s="255" t="s">
        <v>178</v>
      </c>
      <c r="DG3" s="584" t="s">
        <v>701</v>
      </c>
      <c r="DH3" s="651" t="s">
        <v>808</v>
      </c>
      <c r="DI3" s="255" t="s">
        <v>832</v>
      </c>
      <c r="DJ3" s="255" t="s">
        <v>834</v>
      </c>
      <c r="DK3" s="673" t="s">
        <v>835</v>
      </c>
      <c r="DL3" s="674" t="s">
        <v>838</v>
      </c>
      <c r="DM3" s="278" t="s">
        <v>179</v>
      </c>
      <c r="DN3" s="255" t="s">
        <v>182</v>
      </c>
      <c r="DO3" s="255" t="s">
        <v>702</v>
      </c>
      <c r="DP3" s="255" t="s">
        <v>180</v>
      </c>
      <c r="DQ3" s="256" t="s">
        <v>181</v>
      </c>
      <c r="DR3" s="567" t="s">
        <v>654</v>
      </c>
    </row>
    <row r="4" spans="1:122" s="125" customFormat="1" x14ac:dyDescent="0.2">
      <c r="A4" s="220">
        <v>54.02</v>
      </c>
      <c r="B4" s="593" t="s">
        <v>138</v>
      </c>
      <c r="C4" s="593"/>
      <c r="D4" s="157"/>
      <c r="E4" s="603"/>
      <c r="F4" s="125">
        <v>1</v>
      </c>
      <c r="G4" s="124">
        <v>1</v>
      </c>
      <c r="H4" s="126">
        <v>21876</v>
      </c>
      <c r="I4" s="126">
        <v>41484</v>
      </c>
      <c r="J4" s="126"/>
      <c r="K4" s="126"/>
      <c r="L4" s="126"/>
      <c r="M4" s="125">
        <v>53.7</v>
      </c>
      <c r="N4" s="575"/>
      <c r="O4" s="150"/>
      <c r="P4" s="129"/>
      <c r="Q4" s="129"/>
      <c r="R4" s="129"/>
      <c r="S4" s="129"/>
      <c r="T4" s="129"/>
      <c r="U4" s="129"/>
      <c r="V4" s="129"/>
      <c r="W4" s="129"/>
      <c r="X4" s="129"/>
      <c r="Y4" s="129"/>
      <c r="Z4" s="481"/>
      <c r="AA4" s="129"/>
      <c r="AB4" s="130"/>
      <c r="AC4" s="463"/>
      <c r="AD4" s="463"/>
      <c r="AE4" s="463"/>
      <c r="AF4" s="130"/>
      <c r="AG4" s="130"/>
      <c r="AH4" s="130"/>
      <c r="AI4" s="130"/>
      <c r="AJ4" s="129"/>
      <c r="AK4" s="504"/>
      <c r="AL4" s="129"/>
      <c r="AM4" s="455"/>
      <c r="AN4" s="455"/>
      <c r="AO4" s="455"/>
      <c r="AP4" s="455"/>
      <c r="AQ4" s="456"/>
      <c r="AR4" s="456"/>
      <c r="AS4" s="456"/>
      <c r="AT4" s="128"/>
      <c r="AY4" s="622"/>
      <c r="AZ4" s="179"/>
      <c r="BA4" s="179"/>
      <c r="BB4" s="179"/>
      <c r="BC4" s="127"/>
      <c r="BD4" s="405"/>
      <c r="BF4" s="128"/>
      <c r="BH4" s="127"/>
      <c r="BU4" s="128"/>
      <c r="BV4" s="179"/>
      <c r="BW4" s="179"/>
      <c r="BX4" s="179"/>
      <c r="BY4" s="179"/>
      <c r="BZ4" s="179"/>
      <c r="CA4" s="179"/>
      <c r="CB4" s="179"/>
      <c r="CC4" s="179"/>
      <c r="CD4" s="179"/>
      <c r="CE4" s="179"/>
      <c r="CF4" s="179"/>
      <c r="CG4" s="179"/>
      <c r="CH4" s="179"/>
      <c r="CI4" s="561"/>
      <c r="CJ4" s="244"/>
      <c r="CK4" s="244"/>
      <c r="CL4" s="319"/>
      <c r="CM4" s="244"/>
      <c r="CN4" s="244"/>
      <c r="CO4" s="244"/>
      <c r="CP4" s="319"/>
      <c r="CQ4" s="244"/>
      <c r="CR4" s="244"/>
      <c r="CS4" s="244"/>
      <c r="CT4" s="319"/>
      <c r="CU4" s="244"/>
      <c r="CV4" s="244"/>
      <c r="CW4" s="244"/>
      <c r="CX4" s="319"/>
      <c r="CY4" s="244"/>
      <c r="CZ4" s="244"/>
      <c r="DA4" s="244"/>
      <c r="DB4" s="244"/>
      <c r="DC4" s="244"/>
      <c r="DD4" s="244"/>
      <c r="DE4" s="385"/>
      <c r="DF4" s="232"/>
      <c r="DG4" s="375"/>
      <c r="DH4" s="394"/>
      <c r="DM4" s="379"/>
      <c r="DN4" s="375"/>
      <c r="DO4" s="375"/>
      <c r="DP4" s="375"/>
      <c r="DQ4" s="375"/>
    </row>
    <row r="5" spans="1:122" s="118" customFormat="1" x14ac:dyDescent="0.2">
      <c r="A5" s="216">
        <v>54.03</v>
      </c>
      <c r="B5" s="594" t="s">
        <v>151</v>
      </c>
      <c r="C5" s="594" t="s">
        <v>297</v>
      </c>
      <c r="D5" s="104" t="s">
        <v>296</v>
      </c>
      <c r="E5" s="604" t="s">
        <v>297</v>
      </c>
      <c r="F5" s="112">
        <v>1</v>
      </c>
      <c r="G5" s="111">
        <v>1</v>
      </c>
      <c r="H5" s="99">
        <v>32529</v>
      </c>
      <c r="I5" s="99">
        <v>41487</v>
      </c>
      <c r="J5" s="99">
        <v>42186</v>
      </c>
      <c r="K5" s="109">
        <f>(J5-I5)/365</f>
        <v>1.9150684931506849</v>
      </c>
      <c r="L5" s="109">
        <f>K5*12</f>
        <v>22.980821917808221</v>
      </c>
      <c r="M5" s="101">
        <v>24.583333333333332</v>
      </c>
      <c r="N5" s="576">
        <v>26.4</v>
      </c>
      <c r="O5" s="100">
        <v>100</v>
      </c>
      <c r="P5" s="101">
        <v>0</v>
      </c>
      <c r="Q5" s="101">
        <v>6</v>
      </c>
      <c r="R5" s="101">
        <v>19</v>
      </c>
      <c r="S5" s="101">
        <v>14</v>
      </c>
      <c r="T5" s="101">
        <v>10</v>
      </c>
      <c r="U5" s="101">
        <v>8</v>
      </c>
      <c r="V5" s="101">
        <v>9</v>
      </c>
      <c r="W5" s="101">
        <v>6</v>
      </c>
      <c r="X5" s="101">
        <v>92.16</v>
      </c>
      <c r="Y5" s="101">
        <v>98.359999999999985</v>
      </c>
      <c r="Z5" s="482">
        <v>12</v>
      </c>
      <c r="AA5" s="101">
        <v>12</v>
      </c>
      <c r="AB5">
        <f>(3*60)+16</f>
        <v>196</v>
      </c>
      <c r="AC5" s="644">
        <f>(2*60)+32</f>
        <v>152</v>
      </c>
      <c r="AD5" s="644">
        <f>(5*60)+16</f>
        <v>316</v>
      </c>
      <c r="AE5" s="644">
        <f>(3*60)+6</f>
        <v>186</v>
      </c>
      <c r="AF5" s="380">
        <v>120</v>
      </c>
      <c r="AG5" s="380">
        <v>34</v>
      </c>
      <c r="AH5" s="102">
        <v>1.6122448979591837</v>
      </c>
      <c r="AI5" s="102">
        <v>1.2236842105263157</v>
      </c>
      <c r="AJ5" s="101">
        <v>3</v>
      </c>
      <c r="AK5" s="505">
        <v>3</v>
      </c>
      <c r="AL5" s="101">
        <v>59</v>
      </c>
      <c r="AM5" s="106">
        <v>55</v>
      </c>
      <c r="AN5" s="106">
        <v>549.19000000000005</v>
      </c>
      <c r="AO5" s="106">
        <v>9.25</v>
      </c>
      <c r="AP5" s="106">
        <v>11.49</v>
      </c>
      <c r="AQ5" s="103">
        <v>581.0290686274509</v>
      </c>
      <c r="AR5" s="103">
        <v>7.5275672258408148</v>
      </c>
      <c r="AS5" s="103">
        <v>7.5138631455848088</v>
      </c>
      <c r="AT5" s="147" t="s">
        <v>134</v>
      </c>
      <c r="AU5" s="112">
        <v>57</v>
      </c>
      <c r="AV5" s="112">
        <v>3</v>
      </c>
      <c r="AW5" s="112">
        <v>4</v>
      </c>
      <c r="AX5" s="112">
        <v>8</v>
      </c>
      <c r="AY5" s="77">
        <v>89.0625</v>
      </c>
      <c r="AZ5" s="116">
        <v>98.4375</v>
      </c>
      <c r="BA5" s="116">
        <v>10.9375</v>
      </c>
      <c r="BB5" s="116">
        <v>1.56</v>
      </c>
      <c r="BC5" s="113">
        <v>47</v>
      </c>
      <c r="BD5" s="627">
        <v>58</v>
      </c>
      <c r="BE5" s="116">
        <v>0.48958333333333331</v>
      </c>
      <c r="BF5" s="114">
        <v>0.6</v>
      </c>
      <c r="BG5" s="115" t="s">
        <v>67</v>
      </c>
      <c r="BH5" s="348">
        <v>90.476190476190482</v>
      </c>
      <c r="BI5" s="349">
        <v>85.714285714285708</v>
      </c>
      <c r="BJ5" s="358">
        <v>647.1388888888888</v>
      </c>
      <c r="BK5" s="349">
        <v>918.66666666666663</v>
      </c>
      <c r="BL5" s="358">
        <v>97.619047619047635</v>
      </c>
      <c r="BM5" s="349">
        <v>92.857142857142847</v>
      </c>
      <c r="BN5" s="358">
        <v>630.83333333333337</v>
      </c>
      <c r="BO5" s="349">
        <v>705.66666666666663</v>
      </c>
      <c r="BP5" s="349">
        <v>94.047619047619051</v>
      </c>
      <c r="BQ5" s="349">
        <v>89.285714285714292</v>
      </c>
      <c r="BR5" s="349">
        <v>638.98611111111109</v>
      </c>
      <c r="BS5" s="349">
        <v>812.16666666666663</v>
      </c>
      <c r="BT5" s="349">
        <v>71.170229597969524</v>
      </c>
      <c r="BU5" s="350">
        <v>304.96946479750142</v>
      </c>
      <c r="BV5" s="77">
        <v>78.571428571428569</v>
      </c>
      <c r="BW5" s="109">
        <v>85.714285714285708</v>
      </c>
      <c r="BX5" s="116">
        <v>761.66666666666663</v>
      </c>
      <c r="BY5" s="109">
        <v>856.91666666666663</v>
      </c>
      <c r="BZ5" s="116">
        <v>97.619047619047635</v>
      </c>
      <c r="CA5" s="109">
        <v>90.476190476190482</v>
      </c>
      <c r="CB5" s="116">
        <v>828.08333333333337</v>
      </c>
      <c r="CC5" s="109">
        <v>889.19444444444446</v>
      </c>
      <c r="CD5" s="116">
        <v>88.095238095238102</v>
      </c>
      <c r="CE5" s="109">
        <v>88.095238095238102</v>
      </c>
      <c r="CF5" s="116">
        <v>794.875</v>
      </c>
      <c r="CG5" s="109">
        <v>873.05555555555554</v>
      </c>
      <c r="CH5" s="109">
        <v>173.2628230404701</v>
      </c>
      <c r="CI5" s="103">
        <v>148.18708366354295</v>
      </c>
      <c r="CJ5" s="245" t="s">
        <v>296</v>
      </c>
      <c r="CK5" s="311" t="s">
        <v>297</v>
      </c>
      <c r="CL5" s="320" t="s">
        <v>381</v>
      </c>
      <c r="CM5" s="306" t="s">
        <v>297</v>
      </c>
      <c r="CN5" s="311" t="s">
        <v>391</v>
      </c>
      <c r="CO5" s="311" t="s">
        <v>297</v>
      </c>
      <c r="CP5" s="320" t="s">
        <v>405</v>
      </c>
      <c r="CQ5" s="306" t="s">
        <v>297</v>
      </c>
      <c r="CR5" s="311" t="s">
        <v>411</v>
      </c>
      <c r="CS5" s="311" t="s">
        <v>297</v>
      </c>
      <c r="CT5" s="320" t="s">
        <v>559</v>
      </c>
      <c r="CU5" s="311" t="s">
        <v>297</v>
      </c>
      <c r="CV5" s="311" t="s">
        <v>564</v>
      </c>
      <c r="CW5" s="245" t="s">
        <v>296</v>
      </c>
      <c r="CX5" s="339"/>
      <c r="CY5" s="311" t="s">
        <v>297</v>
      </c>
      <c r="CZ5" s="311" t="s">
        <v>583</v>
      </c>
      <c r="DA5" s="311"/>
      <c r="DB5" s="311"/>
      <c r="DC5" s="311"/>
      <c r="DD5" s="311"/>
      <c r="DE5" s="386">
        <v>101.5</v>
      </c>
      <c r="DF5" s="233">
        <v>41485</v>
      </c>
      <c r="DG5" s="102">
        <v>116</v>
      </c>
      <c r="DH5" s="233"/>
      <c r="DI5" s="675">
        <v>41485</v>
      </c>
      <c r="DJ5" s="666">
        <v>25</v>
      </c>
      <c r="DK5" s="675">
        <v>42185</v>
      </c>
      <c r="DL5" s="666">
        <v>31.5</v>
      </c>
      <c r="DM5" s="380">
        <v>6</v>
      </c>
      <c r="DN5" s="376">
        <v>18.5</v>
      </c>
      <c r="DO5" s="376">
        <v>20.416666666666998</v>
      </c>
      <c r="DP5" s="383">
        <v>713</v>
      </c>
      <c r="DQ5" s="383">
        <v>875</v>
      </c>
      <c r="DR5" s="118" t="s">
        <v>703</v>
      </c>
    </row>
    <row r="6" spans="1:122" s="101" customFormat="1" x14ac:dyDescent="0.2">
      <c r="A6" s="221">
        <v>54.04</v>
      </c>
      <c r="B6" s="594" t="s">
        <v>150</v>
      </c>
      <c r="C6" s="594" t="s">
        <v>297</v>
      </c>
      <c r="D6" s="104" t="s">
        <v>296</v>
      </c>
      <c r="E6" s="604" t="s">
        <v>297</v>
      </c>
      <c r="F6" s="101">
        <v>1</v>
      </c>
      <c r="G6" s="105">
        <v>2</v>
      </c>
      <c r="H6" s="99">
        <v>31731</v>
      </c>
      <c r="I6" s="99">
        <v>41487</v>
      </c>
      <c r="J6" s="99">
        <v>42186</v>
      </c>
      <c r="K6" s="109">
        <f t="shared" ref="K6:K40" si="0">(J6-I6)/365</f>
        <v>1.9150684931506849</v>
      </c>
      <c r="L6" s="109">
        <f t="shared" ref="L6:L40" si="1">K6*12</f>
        <v>22.980821917808221</v>
      </c>
      <c r="M6" s="101">
        <v>26.8</v>
      </c>
      <c r="N6" s="576">
        <v>28.6</v>
      </c>
      <c r="O6" s="100">
        <v>80</v>
      </c>
      <c r="P6" s="101">
        <v>0</v>
      </c>
      <c r="Q6" s="101">
        <v>0</v>
      </c>
      <c r="R6" s="101">
        <v>17</v>
      </c>
      <c r="S6" s="101">
        <v>15</v>
      </c>
      <c r="T6" s="101">
        <v>13</v>
      </c>
      <c r="U6" s="101">
        <v>9</v>
      </c>
      <c r="V6" s="101">
        <v>4</v>
      </c>
      <c r="W6" s="101">
        <v>6</v>
      </c>
      <c r="X6" s="101">
        <v>103.32</v>
      </c>
      <c r="Y6" s="101">
        <v>97.12</v>
      </c>
      <c r="Z6" s="482">
        <v>18</v>
      </c>
      <c r="AA6" s="101">
        <v>19</v>
      </c>
      <c r="AB6">
        <f>(1*60)+17</f>
        <v>77</v>
      </c>
      <c r="AC6" s="644">
        <f>(1*60)+21</f>
        <v>81</v>
      </c>
      <c r="AD6" s="644">
        <f>(1*60)+37</f>
        <v>97</v>
      </c>
      <c r="AE6" s="644">
        <f>(2*60)+1</f>
        <v>121</v>
      </c>
      <c r="AF6" s="380">
        <v>20</v>
      </c>
      <c r="AG6" s="380">
        <v>40</v>
      </c>
      <c r="AH6" s="102">
        <v>1.2597402597402598</v>
      </c>
      <c r="AI6" s="102">
        <v>1.4938271604938271</v>
      </c>
      <c r="AJ6" s="101">
        <v>6</v>
      </c>
      <c r="AK6" s="505">
        <v>5</v>
      </c>
      <c r="AL6" s="101">
        <v>54</v>
      </c>
      <c r="AM6" s="106">
        <v>48</v>
      </c>
      <c r="AN6" s="106">
        <v>478.37</v>
      </c>
      <c r="AO6" s="106">
        <v>16.71</v>
      </c>
      <c r="AP6" s="106">
        <v>24.84</v>
      </c>
      <c r="AQ6" s="103">
        <v>417.03998418972333</v>
      </c>
      <c r="AR6" s="103">
        <v>8.9936315991842868</v>
      </c>
      <c r="AS6" s="103">
        <v>17.829142954642037</v>
      </c>
      <c r="AT6" s="106" t="s">
        <v>143</v>
      </c>
      <c r="AU6" s="16">
        <v>63</v>
      </c>
      <c r="AV6" s="16">
        <v>1</v>
      </c>
      <c r="AW6" s="16">
        <v>0</v>
      </c>
      <c r="AX6" s="16">
        <v>1</v>
      </c>
      <c r="AY6" s="74">
        <v>98.4375</v>
      </c>
      <c r="AZ6" s="30">
        <v>93.75</v>
      </c>
      <c r="BA6" s="30">
        <v>1.5625</v>
      </c>
      <c r="BB6" s="30">
        <v>6.25</v>
      </c>
      <c r="BC6" s="100">
        <v>103</v>
      </c>
      <c r="BD6" s="505">
        <v>84</v>
      </c>
      <c r="BE6" s="109">
        <v>1.0729166666666667</v>
      </c>
      <c r="BF6" s="103">
        <v>0.875</v>
      </c>
      <c r="BG6" s="98" t="s">
        <v>68</v>
      </c>
      <c r="BH6" s="131">
        <v>100</v>
      </c>
      <c r="BI6" s="116">
        <v>90.476190476190482</v>
      </c>
      <c r="BJ6" s="117">
        <v>460.83333333333331</v>
      </c>
      <c r="BK6" s="116">
        <v>640.55555555555554</v>
      </c>
      <c r="BL6" s="117">
        <v>100</v>
      </c>
      <c r="BM6" s="116">
        <v>88.095238095238088</v>
      </c>
      <c r="BN6" s="117">
        <v>481.41666666666669</v>
      </c>
      <c r="BO6" s="116">
        <v>490.33333333333331</v>
      </c>
      <c r="BP6" s="109">
        <v>100</v>
      </c>
      <c r="BQ6" s="116">
        <v>89.285714285714278</v>
      </c>
      <c r="BR6" s="109">
        <v>471.125</v>
      </c>
      <c r="BS6" s="116">
        <v>565.44444444444446</v>
      </c>
      <c r="BT6" s="116">
        <v>89.096094922475601</v>
      </c>
      <c r="BU6" s="114">
        <v>289.18782103216819</v>
      </c>
      <c r="BV6" s="109">
        <v>73.80952380952381</v>
      </c>
      <c r="BW6" s="109">
        <v>73.80952380952381</v>
      </c>
      <c r="BX6" s="109">
        <v>407.5</v>
      </c>
      <c r="BY6" s="109">
        <v>606</v>
      </c>
      <c r="BZ6" s="109">
        <v>97.619047619047635</v>
      </c>
      <c r="CA6" s="109">
        <v>100</v>
      </c>
      <c r="CB6" s="109">
        <v>480.91666666666669</v>
      </c>
      <c r="CC6" s="109">
        <v>466.83333333333331</v>
      </c>
      <c r="CD6" s="109">
        <v>85.714285714285722</v>
      </c>
      <c r="CE6" s="109">
        <v>86.904761904761898</v>
      </c>
      <c r="CF6" s="109">
        <v>444.20833333333337</v>
      </c>
      <c r="CG6" s="109">
        <v>536.41666666666663</v>
      </c>
      <c r="CH6" s="109">
        <v>64.914990903150013</v>
      </c>
      <c r="CI6" s="103">
        <v>113.60869639880529</v>
      </c>
      <c r="CJ6" s="246" t="s">
        <v>296</v>
      </c>
      <c r="CK6" s="312" t="s">
        <v>297</v>
      </c>
      <c r="CL6" s="321" t="s">
        <v>382</v>
      </c>
      <c r="CM6" s="307" t="s">
        <v>297</v>
      </c>
      <c r="CN6" s="312" t="s">
        <v>392</v>
      </c>
      <c r="CO6" s="312" t="s">
        <v>297</v>
      </c>
      <c r="CP6" s="321" t="s">
        <v>406</v>
      </c>
      <c r="CQ6" s="307" t="s">
        <v>297</v>
      </c>
      <c r="CR6" s="312" t="s">
        <v>412</v>
      </c>
      <c r="CS6" s="312" t="s">
        <v>297</v>
      </c>
      <c r="CT6" s="321" t="s">
        <v>389</v>
      </c>
      <c r="CU6" s="312" t="s">
        <v>297</v>
      </c>
      <c r="CV6" s="312" t="s">
        <v>565</v>
      </c>
      <c r="CW6" s="246" t="s">
        <v>296</v>
      </c>
      <c r="CX6" s="322"/>
      <c r="CY6" s="312" t="s">
        <v>297</v>
      </c>
      <c r="CZ6" s="312" t="s">
        <v>432</v>
      </c>
      <c r="DA6" s="312"/>
      <c r="DB6" s="312"/>
      <c r="DC6" s="312"/>
      <c r="DD6" s="312"/>
      <c r="DE6" s="386">
        <v>92.5</v>
      </c>
      <c r="DF6" s="233">
        <v>41485</v>
      </c>
      <c r="DG6" s="102">
        <v>104</v>
      </c>
      <c r="DH6" s="233"/>
      <c r="DI6" s="675">
        <v>41485</v>
      </c>
      <c r="DJ6" s="666">
        <v>22</v>
      </c>
      <c r="DK6" s="675">
        <v>42185</v>
      </c>
      <c r="DL6" s="666">
        <v>28</v>
      </c>
      <c r="DM6" s="380">
        <v>13</v>
      </c>
      <c r="DN6" s="102">
        <v>13.7</v>
      </c>
      <c r="DO6" s="102">
        <v>15.583333333333</v>
      </c>
      <c r="DP6" s="380">
        <v>747</v>
      </c>
      <c r="DQ6" s="380">
        <v>875</v>
      </c>
      <c r="DR6" s="101" t="s">
        <v>704</v>
      </c>
    </row>
    <row r="7" spans="1:122" s="101" customFormat="1" x14ac:dyDescent="0.2">
      <c r="A7" s="221">
        <v>54.05</v>
      </c>
      <c r="B7" s="594" t="s">
        <v>152</v>
      </c>
      <c r="C7" s="594" t="s">
        <v>297</v>
      </c>
      <c r="D7" s="104" t="s">
        <v>297</v>
      </c>
      <c r="E7" s="604" t="s">
        <v>297</v>
      </c>
      <c r="F7" s="101">
        <v>1</v>
      </c>
      <c r="G7" s="105">
        <v>2</v>
      </c>
      <c r="H7" s="99">
        <v>32991</v>
      </c>
      <c r="I7" s="99">
        <v>41491</v>
      </c>
      <c r="J7" s="99">
        <v>42179</v>
      </c>
      <c r="K7" s="109">
        <f t="shared" si="0"/>
        <v>1.8849315068493151</v>
      </c>
      <c r="L7" s="109">
        <f t="shared" si="1"/>
        <v>22.61917808219178</v>
      </c>
      <c r="M7" s="101">
        <v>23.333333333333332</v>
      </c>
      <c r="N7" s="576">
        <v>25.2</v>
      </c>
      <c r="O7" s="100">
        <v>100</v>
      </c>
      <c r="P7" s="123">
        <v>21</v>
      </c>
      <c r="Q7" s="123">
        <v>21</v>
      </c>
      <c r="R7" s="101">
        <v>28</v>
      </c>
      <c r="S7" s="101">
        <v>29</v>
      </c>
      <c r="T7" s="101">
        <v>15</v>
      </c>
      <c r="U7" s="101">
        <v>16</v>
      </c>
      <c r="V7" s="101">
        <v>13</v>
      </c>
      <c r="W7" s="101">
        <v>13</v>
      </c>
      <c r="X7" s="101">
        <v>110.75999999999999</v>
      </c>
      <c r="Y7" s="101">
        <v>112</v>
      </c>
      <c r="Z7" s="482">
        <v>12</v>
      </c>
      <c r="AA7" s="101">
        <v>14</v>
      </c>
      <c r="AB7">
        <f>(1*60)+2</f>
        <v>62</v>
      </c>
      <c r="AC7" s="644">
        <v>48</v>
      </c>
      <c r="AD7" s="644">
        <f>(1*60)+8</f>
        <v>68</v>
      </c>
      <c r="AE7" s="644">
        <f>(1*60)+1</f>
        <v>61</v>
      </c>
      <c r="AF7" s="380">
        <v>6</v>
      </c>
      <c r="AG7" s="380">
        <v>13</v>
      </c>
      <c r="AH7" s="102">
        <v>1.096774193548387</v>
      </c>
      <c r="AI7" s="102">
        <v>1.2708333333333333</v>
      </c>
      <c r="AJ7" s="101">
        <v>6</v>
      </c>
      <c r="AK7" s="505">
        <v>6</v>
      </c>
      <c r="AL7" s="101">
        <v>73</v>
      </c>
      <c r="AM7" s="106">
        <v>74</v>
      </c>
      <c r="AN7" s="106">
        <v>406.65</v>
      </c>
      <c r="AO7" s="106">
        <v>17.760000000000002</v>
      </c>
      <c r="AP7" s="106">
        <v>15.51</v>
      </c>
      <c r="AQ7" s="103">
        <v>529.7995739348371</v>
      </c>
      <c r="AR7" s="103">
        <v>15.593488942874567</v>
      </c>
      <c r="AS7" s="103">
        <v>10.532707623953902</v>
      </c>
      <c r="AT7" s="106" t="s">
        <v>134</v>
      </c>
      <c r="AU7" s="101">
        <v>62</v>
      </c>
      <c r="AV7" s="101">
        <v>0</v>
      </c>
      <c r="AW7" s="101">
        <v>2</v>
      </c>
      <c r="AX7" s="101">
        <v>2</v>
      </c>
      <c r="AY7" s="122">
        <v>96.875</v>
      </c>
      <c r="AZ7" s="109">
        <v>98.4375</v>
      </c>
      <c r="BA7" s="109">
        <v>3.125</v>
      </c>
      <c r="BB7" s="109">
        <v>1.56</v>
      </c>
      <c r="BC7" s="100">
        <v>91</v>
      </c>
      <c r="BD7" s="505">
        <v>73</v>
      </c>
      <c r="BE7" s="109">
        <v>0.94791666666666663</v>
      </c>
      <c r="BF7" s="103">
        <v>0.76041666666666663</v>
      </c>
      <c r="BG7" s="98" t="s">
        <v>68</v>
      </c>
      <c r="BH7" s="122">
        <v>100</v>
      </c>
      <c r="BI7" s="30">
        <v>100</v>
      </c>
      <c r="BJ7" s="101">
        <v>598.41666666666663</v>
      </c>
      <c r="BK7" s="30">
        <v>554.16666666666663</v>
      </c>
      <c r="BL7" s="109">
        <v>92.857142857142847</v>
      </c>
      <c r="BM7" s="30">
        <v>100</v>
      </c>
      <c r="BN7" s="101">
        <v>603.66666666666663</v>
      </c>
      <c r="BO7" s="30">
        <v>614.33333333333337</v>
      </c>
      <c r="BP7" s="109">
        <v>96.428571428571431</v>
      </c>
      <c r="BQ7" s="109">
        <v>100</v>
      </c>
      <c r="BR7" s="109">
        <v>601.04166666666663</v>
      </c>
      <c r="BS7" s="109">
        <v>584.25</v>
      </c>
      <c r="BT7" s="109">
        <v>69.444873649467354</v>
      </c>
      <c r="BU7" s="103">
        <v>140.57993239187573</v>
      </c>
      <c r="BV7" s="109">
        <v>97.619047619047635</v>
      </c>
      <c r="BW7" s="193">
        <v>97.619047619047635</v>
      </c>
      <c r="BX7" s="109">
        <v>753.47222222222229</v>
      </c>
      <c r="BY7" s="193">
        <v>901.72222222222217</v>
      </c>
      <c r="BZ7" s="109">
        <v>97.619047619047635</v>
      </c>
      <c r="CA7" s="193">
        <v>97.619047619047635</v>
      </c>
      <c r="CB7" s="109">
        <v>788.66666666666663</v>
      </c>
      <c r="CC7" s="193">
        <v>725.1111111111112</v>
      </c>
      <c r="CD7" s="109">
        <v>97.619047619047635</v>
      </c>
      <c r="CE7" s="193">
        <v>97.619047619047635</v>
      </c>
      <c r="CF7" s="109">
        <v>771.06944444444446</v>
      </c>
      <c r="CG7" s="193">
        <v>813.41666666666674</v>
      </c>
      <c r="CH7" s="109">
        <v>107.37723282833359</v>
      </c>
      <c r="CI7" s="103">
        <v>263.4122778811348</v>
      </c>
      <c r="CJ7" s="312" t="s">
        <v>297</v>
      </c>
      <c r="CK7" s="246" t="s">
        <v>296</v>
      </c>
      <c r="CL7" s="322"/>
      <c r="CM7" s="246" t="s">
        <v>296</v>
      </c>
      <c r="CN7" s="246"/>
      <c r="CO7" s="246" t="s">
        <v>296</v>
      </c>
      <c r="CP7" s="322"/>
      <c r="CQ7" s="246" t="s">
        <v>296</v>
      </c>
      <c r="CR7" s="246"/>
      <c r="CS7" s="246" t="s">
        <v>354</v>
      </c>
      <c r="CT7" s="322"/>
      <c r="CU7" s="309" t="s">
        <v>297</v>
      </c>
      <c r="CV7" s="314" t="s">
        <v>547</v>
      </c>
      <c r="CW7" s="246" t="s">
        <v>296</v>
      </c>
      <c r="CX7" s="322"/>
      <c r="CY7" s="246" t="s">
        <v>296</v>
      </c>
      <c r="CZ7" s="246"/>
      <c r="DA7" s="246"/>
      <c r="DB7" s="246"/>
      <c r="DC7" s="246"/>
      <c r="DD7" s="246"/>
      <c r="DE7" s="386">
        <v>96.5</v>
      </c>
      <c r="DF7" s="233">
        <v>41450</v>
      </c>
      <c r="DG7" s="102">
        <v>102</v>
      </c>
      <c r="DH7" s="233"/>
      <c r="DI7" s="675">
        <v>41450</v>
      </c>
      <c r="DJ7" s="666">
        <v>19.5</v>
      </c>
      <c r="DK7" s="675">
        <v>42178</v>
      </c>
      <c r="DL7" s="666">
        <v>20</v>
      </c>
      <c r="DM7" s="380">
        <v>7</v>
      </c>
      <c r="DN7" s="102">
        <v>16.2</v>
      </c>
      <c r="DO7" s="102">
        <v>18.166666666666998</v>
      </c>
      <c r="DP7" s="380">
        <v>998</v>
      </c>
      <c r="DQ7" s="380">
        <v>998</v>
      </c>
      <c r="DR7" s="101" t="s">
        <v>705</v>
      </c>
    </row>
    <row r="8" spans="1:122" x14ac:dyDescent="0.2">
      <c r="A8" s="216">
        <v>54.06</v>
      </c>
      <c r="B8" s="595" t="s">
        <v>153</v>
      </c>
      <c r="C8" s="595" t="s">
        <v>297</v>
      </c>
      <c r="D8" s="158" t="s">
        <v>297</v>
      </c>
      <c r="E8" s="605" t="s">
        <v>297</v>
      </c>
      <c r="F8" s="16">
        <v>1</v>
      </c>
      <c r="G8" s="5">
        <v>2</v>
      </c>
      <c r="H8" s="152">
        <v>33125</v>
      </c>
      <c r="I8" s="152">
        <v>41508</v>
      </c>
      <c r="J8" s="152">
        <v>42228</v>
      </c>
      <c r="K8" s="109">
        <f t="shared" si="0"/>
        <v>1.9726027397260273</v>
      </c>
      <c r="L8" s="109">
        <f t="shared" si="1"/>
        <v>23.671232876712327</v>
      </c>
      <c r="M8" s="16">
        <v>22.916666666666668</v>
      </c>
      <c r="N8" s="576">
        <v>24.9</v>
      </c>
      <c r="O8" s="151">
        <v>80</v>
      </c>
      <c r="P8" s="123">
        <v>39</v>
      </c>
      <c r="Q8" s="123">
        <v>23</v>
      </c>
      <c r="R8" s="22">
        <v>12</v>
      </c>
      <c r="S8" s="101">
        <v>16</v>
      </c>
      <c r="T8" s="22">
        <v>8</v>
      </c>
      <c r="U8" s="101">
        <v>10</v>
      </c>
      <c r="V8" s="22">
        <v>6</v>
      </c>
      <c r="W8" s="101">
        <v>6</v>
      </c>
      <c r="X8" s="123">
        <v>94.639999999999986</v>
      </c>
      <c r="Y8" s="123">
        <v>94.639999999999986</v>
      </c>
      <c r="Z8" s="482">
        <v>16</v>
      </c>
      <c r="AA8" s="101">
        <v>17</v>
      </c>
      <c r="AB8">
        <f>(0*60)+59</f>
        <v>59</v>
      </c>
      <c r="AC8" s="644">
        <f>(1*60)+55</f>
        <v>115</v>
      </c>
      <c r="AD8" s="644">
        <f>(2*60)+36</f>
        <v>156</v>
      </c>
      <c r="AE8" s="644">
        <f>(3*60)+9</f>
        <v>189</v>
      </c>
      <c r="AF8" s="380">
        <v>97</v>
      </c>
      <c r="AG8" s="380">
        <v>74</v>
      </c>
      <c r="AH8" s="102">
        <v>2.6440677966101696</v>
      </c>
      <c r="AI8" s="102">
        <v>1.6434782608695653</v>
      </c>
      <c r="AJ8" s="123">
        <v>5</v>
      </c>
      <c r="AK8" s="506">
        <v>5</v>
      </c>
      <c r="AL8" s="22">
        <v>57</v>
      </c>
      <c r="AM8" s="148">
        <v>50</v>
      </c>
      <c r="AN8" s="148">
        <v>801.22</v>
      </c>
      <c r="AO8" s="148">
        <v>4.6500000000000004</v>
      </c>
      <c r="AP8" s="148">
        <v>4.1900000000000004</v>
      </c>
      <c r="AQ8" s="344">
        <v>752.23956043956048</v>
      </c>
      <c r="AR8" s="344">
        <v>2.4928408238153401</v>
      </c>
      <c r="AS8" s="344">
        <v>3.9124281914396235</v>
      </c>
      <c r="AT8" s="91" t="s">
        <v>143</v>
      </c>
      <c r="AU8" s="16">
        <v>61</v>
      </c>
      <c r="AV8" s="16">
        <v>0</v>
      </c>
      <c r="AW8" s="16">
        <v>3</v>
      </c>
      <c r="AX8" s="16">
        <v>4</v>
      </c>
      <c r="AY8" s="74">
        <v>95.3125</v>
      </c>
      <c r="AZ8" s="30">
        <v>84.375</v>
      </c>
      <c r="BA8" s="30">
        <v>4.6875</v>
      </c>
      <c r="BB8" s="30">
        <v>15.625</v>
      </c>
      <c r="BC8" s="90">
        <v>83</v>
      </c>
      <c r="BD8" s="508">
        <v>120</v>
      </c>
      <c r="BE8" s="30">
        <v>0.86458333333333337</v>
      </c>
      <c r="BF8" s="107">
        <v>1.25</v>
      </c>
      <c r="BG8" s="108" t="s">
        <v>67</v>
      </c>
      <c r="BH8" s="74">
        <v>100</v>
      </c>
      <c r="BI8" s="30">
        <v>85.714285714285708</v>
      </c>
      <c r="BJ8" s="30">
        <v>742.75</v>
      </c>
      <c r="BK8" s="30">
        <v>895</v>
      </c>
      <c r="BL8" s="30">
        <v>100</v>
      </c>
      <c r="BM8" s="30">
        <v>85.714285714285708</v>
      </c>
      <c r="BN8" s="30">
        <v>732.16666666666663</v>
      </c>
      <c r="BO8" s="30">
        <v>841.16666666666663</v>
      </c>
      <c r="BP8" s="30">
        <v>100</v>
      </c>
      <c r="BQ8" s="30">
        <v>85.714285714285708</v>
      </c>
      <c r="BR8" s="30">
        <v>737.45833333333326</v>
      </c>
      <c r="BS8" s="30">
        <v>868.08333333333326</v>
      </c>
      <c r="BT8" s="30">
        <v>122.68835711270454</v>
      </c>
      <c r="BU8" s="107">
        <v>164.83074422699238</v>
      </c>
      <c r="CJ8" s="311" t="s">
        <v>297</v>
      </c>
      <c r="CK8" s="247" t="s">
        <v>296</v>
      </c>
      <c r="CM8" s="247" t="s">
        <v>296</v>
      </c>
      <c r="CO8" s="247" t="s">
        <v>296</v>
      </c>
      <c r="CQ8" s="306" t="s">
        <v>297</v>
      </c>
      <c r="CR8" s="311" t="s">
        <v>413</v>
      </c>
      <c r="CS8" s="311" t="s">
        <v>297</v>
      </c>
      <c r="CT8" s="320" t="s">
        <v>431</v>
      </c>
      <c r="CU8" s="311" t="s">
        <v>297</v>
      </c>
      <c r="CV8" s="311" t="s">
        <v>566</v>
      </c>
      <c r="CW8" s="311" t="s">
        <v>297</v>
      </c>
      <c r="CX8" s="320" t="s">
        <v>410</v>
      </c>
      <c r="CY8" s="311" t="s">
        <v>297</v>
      </c>
      <c r="CZ8" s="311" t="s">
        <v>432</v>
      </c>
      <c r="DA8" s="311"/>
      <c r="DB8" s="311"/>
      <c r="DC8" s="311"/>
      <c r="DD8" s="311"/>
      <c r="DE8" s="392">
        <v>100</v>
      </c>
      <c r="DF8" s="393">
        <v>41541</v>
      </c>
      <c r="DG8" s="585">
        <v>109.5</v>
      </c>
      <c r="DH8" s="393"/>
      <c r="DI8" s="675">
        <v>41541</v>
      </c>
      <c r="DJ8" s="666">
        <v>25</v>
      </c>
      <c r="DK8" s="675">
        <v>42185</v>
      </c>
      <c r="DL8" s="666">
        <v>30.5</v>
      </c>
      <c r="DM8" s="380">
        <v>14</v>
      </c>
      <c r="DN8" s="376">
        <v>9</v>
      </c>
      <c r="DO8" s="376">
        <v>10.75</v>
      </c>
      <c r="DP8" s="383">
        <v>837</v>
      </c>
      <c r="DQ8" s="383">
        <v>877</v>
      </c>
      <c r="DR8" t="s">
        <v>706</v>
      </c>
    </row>
    <row r="9" spans="1:122" s="170" customFormat="1" x14ac:dyDescent="0.2">
      <c r="A9" s="222">
        <v>54.07</v>
      </c>
      <c r="B9" s="596" t="s">
        <v>158</v>
      </c>
      <c r="C9" s="596" t="s">
        <v>297</v>
      </c>
      <c r="D9" s="163" t="s">
        <v>297</v>
      </c>
      <c r="E9" s="606" t="s">
        <v>297</v>
      </c>
      <c r="F9" s="164">
        <v>1</v>
      </c>
      <c r="G9" s="165">
        <v>2</v>
      </c>
      <c r="H9" s="166">
        <v>27209</v>
      </c>
      <c r="I9" s="167">
        <v>41512</v>
      </c>
      <c r="J9" s="167"/>
      <c r="K9" s="109"/>
      <c r="L9" s="109"/>
      <c r="M9" s="129">
        <v>39.200000000000003</v>
      </c>
      <c r="N9" s="577"/>
      <c r="O9" s="228">
        <v>100</v>
      </c>
      <c r="P9" s="229">
        <v>41</v>
      </c>
      <c r="Q9" s="229"/>
      <c r="R9" s="229">
        <v>24</v>
      </c>
      <c r="S9" s="229"/>
      <c r="T9" s="229">
        <v>15</v>
      </c>
      <c r="U9" s="229"/>
      <c r="V9" s="229">
        <v>9</v>
      </c>
      <c r="W9" s="229"/>
      <c r="X9" s="229">
        <v>110.75999999999999</v>
      </c>
      <c r="Y9" s="229"/>
      <c r="Z9" s="483">
        <v>16</v>
      </c>
      <c r="AA9" s="229"/>
      <c r="AB9" s="634">
        <f>(0*60)+45</f>
        <v>45</v>
      </c>
      <c r="AC9" s="645"/>
      <c r="AD9" s="645">
        <f>(1*60)+0</f>
        <v>60</v>
      </c>
      <c r="AE9" s="645"/>
      <c r="AF9" s="633">
        <v>15</v>
      </c>
      <c r="AG9" s="633"/>
      <c r="AH9" s="286">
        <v>1.3333333333333333</v>
      </c>
      <c r="AI9" s="286"/>
      <c r="AJ9" s="229">
        <v>7</v>
      </c>
      <c r="AK9" s="507"/>
      <c r="AL9" s="229">
        <v>63</v>
      </c>
      <c r="AM9" s="230"/>
      <c r="AN9" s="230">
        <v>325.95999999999998</v>
      </c>
      <c r="AO9" s="230">
        <v>19.940000000000001</v>
      </c>
      <c r="AP9" s="230">
        <v>24.01</v>
      </c>
      <c r="AQ9" s="243"/>
      <c r="AR9" s="243"/>
      <c r="AS9" s="243"/>
      <c r="AT9" s="168" t="s">
        <v>134</v>
      </c>
      <c r="AU9" s="229">
        <v>63</v>
      </c>
      <c r="AV9" s="229">
        <v>0</v>
      </c>
      <c r="AW9" s="229">
        <v>1</v>
      </c>
      <c r="AX9" s="229">
        <v>1</v>
      </c>
      <c r="AY9" s="242">
        <v>98.4375</v>
      </c>
      <c r="AZ9" s="241"/>
      <c r="BA9" s="241">
        <v>1.5625</v>
      </c>
      <c r="BB9" s="241"/>
      <c r="BC9" s="228">
        <v>71</v>
      </c>
      <c r="BD9" s="507"/>
      <c r="BE9" s="241">
        <v>0.73958333333333337</v>
      </c>
      <c r="BF9" s="243"/>
      <c r="BG9" s="169" t="s">
        <v>67</v>
      </c>
      <c r="BH9" s="242">
        <v>100</v>
      </c>
      <c r="BI9" s="241">
        <v>97.619047619047635</v>
      </c>
      <c r="BJ9" s="241">
        <v>417.25</v>
      </c>
      <c r="BK9" s="241">
        <v>476.8055555555556</v>
      </c>
      <c r="BL9" s="241">
        <v>100</v>
      </c>
      <c r="BM9" s="241">
        <v>100</v>
      </c>
      <c r="BN9" s="241">
        <v>430.5</v>
      </c>
      <c r="BO9" s="241">
        <v>444.75</v>
      </c>
      <c r="BP9" s="241">
        <v>100</v>
      </c>
      <c r="BQ9" s="241">
        <v>98.809523809523824</v>
      </c>
      <c r="BR9" s="241">
        <v>423.875</v>
      </c>
      <c r="BS9" s="241">
        <v>460.77777777777783</v>
      </c>
      <c r="BT9" s="241">
        <v>66.178488886528285</v>
      </c>
      <c r="BU9" s="243">
        <v>96.481950635437443</v>
      </c>
      <c r="BV9" s="562"/>
      <c r="BW9" s="562"/>
      <c r="BX9" s="562"/>
      <c r="BY9" s="562"/>
      <c r="BZ9" s="562"/>
      <c r="CA9" s="562"/>
      <c r="CB9" s="562"/>
      <c r="CC9" s="562"/>
      <c r="CD9" s="562"/>
      <c r="CE9" s="562"/>
      <c r="CF9" s="562"/>
      <c r="CG9" s="562"/>
      <c r="CH9" s="562"/>
      <c r="CI9" s="316"/>
      <c r="CJ9" s="313" t="s">
        <v>297</v>
      </c>
      <c r="CK9" s="248" t="s">
        <v>354</v>
      </c>
      <c r="CL9" s="324"/>
      <c r="CM9" s="308" t="s">
        <v>345</v>
      </c>
      <c r="CN9" s="313"/>
      <c r="CO9" s="248" t="s">
        <v>354</v>
      </c>
      <c r="CP9" s="324"/>
      <c r="CQ9" s="308" t="s">
        <v>345</v>
      </c>
      <c r="CR9" s="313"/>
      <c r="CS9" s="248" t="s">
        <v>354</v>
      </c>
      <c r="CT9" s="324"/>
      <c r="CU9" s="313" t="s">
        <v>297</v>
      </c>
      <c r="CV9" s="313" t="s">
        <v>547</v>
      </c>
      <c r="CW9" s="248" t="s">
        <v>354</v>
      </c>
      <c r="CX9" s="324"/>
      <c r="CY9" s="313" t="s">
        <v>345</v>
      </c>
      <c r="CZ9" s="313" t="s">
        <v>547</v>
      </c>
      <c r="DA9" s="313"/>
      <c r="DB9" s="313"/>
      <c r="DC9" s="313"/>
      <c r="DD9" s="313"/>
      <c r="DE9" s="385">
        <v>84.5</v>
      </c>
      <c r="DF9" s="394">
        <v>41387</v>
      </c>
      <c r="DG9" s="375"/>
      <c r="DH9" s="394"/>
      <c r="DI9" s="675">
        <v>41387</v>
      </c>
      <c r="DJ9" s="666">
        <v>14</v>
      </c>
      <c r="DK9" s="667"/>
      <c r="DL9" s="668"/>
      <c r="DM9" s="379">
        <v>21</v>
      </c>
      <c r="DN9" s="395">
        <v>17.8</v>
      </c>
      <c r="DO9" s="395"/>
      <c r="DP9" s="396">
        <v>462</v>
      </c>
      <c r="DQ9" s="396">
        <v>462</v>
      </c>
      <c r="DR9" s="170" t="s">
        <v>707</v>
      </c>
    </row>
    <row r="10" spans="1:122" x14ac:dyDescent="0.2">
      <c r="A10" s="216">
        <v>54.08</v>
      </c>
      <c r="B10" s="595" t="s">
        <v>174</v>
      </c>
      <c r="C10" s="595" t="s">
        <v>297</v>
      </c>
      <c r="D10" s="158" t="s">
        <v>297</v>
      </c>
      <c r="E10" s="605" t="s">
        <v>297</v>
      </c>
      <c r="F10" s="16">
        <v>1</v>
      </c>
      <c r="G10" s="5">
        <v>1</v>
      </c>
      <c r="H10" s="152">
        <v>32763</v>
      </c>
      <c r="I10" s="152">
        <v>41523</v>
      </c>
      <c r="J10" s="152">
        <v>42241</v>
      </c>
      <c r="K10" s="109">
        <f t="shared" si="0"/>
        <v>1.9671232876712328</v>
      </c>
      <c r="L10" s="109">
        <f t="shared" si="1"/>
        <v>23.605479452054794</v>
      </c>
      <c r="M10" s="101">
        <v>24</v>
      </c>
      <c r="N10" s="576">
        <v>25.9</v>
      </c>
      <c r="O10" s="90">
        <v>100</v>
      </c>
      <c r="P10" s="16">
        <v>6</v>
      </c>
      <c r="Q10" s="16">
        <v>10</v>
      </c>
      <c r="R10" s="101">
        <v>17</v>
      </c>
      <c r="S10" s="101">
        <v>16</v>
      </c>
      <c r="T10" s="101">
        <v>12</v>
      </c>
      <c r="U10" s="101">
        <v>12</v>
      </c>
      <c r="V10" s="101">
        <v>5</v>
      </c>
      <c r="W10" s="101">
        <v>4</v>
      </c>
      <c r="X10" s="101">
        <v>104.56</v>
      </c>
      <c r="Y10" s="101">
        <v>108.28</v>
      </c>
      <c r="Z10" s="482">
        <v>16</v>
      </c>
      <c r="AA10" s="101">
        <v>16</v>
      </c>
      <c r="AB10">
        <f>(0*60)+40</f>
        <v>40</v>
      </c>
      <c r="AC10" s="644">
        <f>(1*60)+26</f>
        <v>86</v>
      </c>
      <c r="AD10" s="644">
        <f>(1*60)+53</f>
        <v>113</v>
      </c>
      <c r="AE10" s="644">
        <f>(3*60)+10</f>
        <v>190</v>
      </c>
      <c r="AF10" s="380">
        <v>73</v>
      </c>
      <c r="AG10" s="380">
        <v>104</v>
      </c>
      <c r="AH10" s="102">
        <v>2.8250000000000002</v>
      </c>
      <c r="AI10" s="102">
        <v>2.2093023255813953</v>
      </c>
      <c r="AJ10" s="101">
        <v>8</v>
      </c>
      <c r="AK10" s="505">
        <v>7</v>
      </c>
      <c r="AL10" s="16">
        <v>55</v>
      </c>
      <c r="AM10" s="91">
        <v>53</v>
      </c>
      <c r="AN10" s="91">
        <v>473.03</v>
      </c>
      <c r="AO10" s="91">
        <v>13.6</v>
      </c>
      <c r="AP10" s="91">
        <v>10.91</v>
      </c>
      <c r="AQ10" s="107">
        <v>812.91550116550115</v>
      </c>
      <c r="AR10" s="107">
        <v>11.632989556111173</v>
      </c>
      <c r="AS10" s="107">
        <v>6.273950025797606</v>
      </c>
      <c r="AT10" s="5" t="s">
        <v>143</v>
      </c>
      <c r="AU10" s="22">
        <v>64</v>
      </c>
      <c r="AV10" s="22">
        <v>0</v>
      </c>
      <c r="AW10" s="22">
        <v>0</v>
      </c>
      <c r="AX10" s="22">
        <v>0</v>
      </c>
      <c r="AY10" s="74">
        <v>100</v>
      </c>
      <c r="AZ10" s="30">
        <v>100</v>
      </c>
      <c r="BA10" s="30">
        <v>0</v>
      </c>
      <c r="BB10" s="30">
        <v>0</v>
      </c>
      <c r="BC10" s="90">
        <v>52</v>
      </c>
      <c r="BD10" s="508">
        <v>65</v>
      </c>
      <c r="BE10" s="30">
        <v>0.54166666666666663</v>
      </c>
      <c r="BF10" s="107">
        <v>0.67708333333333337</v>
      </c>
      <c r="BG10" s="108" t="s">
        <v>68</v>
      </c>
      <c r="BH10" s="74">
        <v>100</v>
      </c>
      <c r="BI10" s="30">
        <v>97.619047619047635</v>
      </c>
      <c r="BJ10" s="30">
        <v>528.58333333333337</v>
      </c>
      <c r="BK10" s="30">
        <v>617.8611111111112</v>
      </c>
      <c r="BL10" s="30">
        <v>95.238095238095241</v>
      </c>
      <c r="BM10" s="30">
        <v>90.476190476190482</v>
      </c>
      <c r="BN10" s="30">
        <v>554.3611111111112</v>
      </c>
      <c r="BO10" s="30">
        <v>655.6111111111112</v>
      </c>
      <c r="BP10" s="30">
        <v>97.61904761904762</v>
      </c>
      <c r="BQ10" s="30">
        <v>94.047619047619065</v>
      </c>
      <c r="BR10" s="30">
        <v>541.47222222222229</v>
      </c>
      <c r="BS10" s="30">
        <v>636.7361111111112</v>
      </c>
      <c r="BT10" s="30">
        <v>66.696883797523725</v>
      </c>
      <c r="BU10" s="107">
        <v>89.129283850853938</v>
      </c>
      <c r="BV10" s="193">
        <v>100</v>
      </c>
      <c r="BW10" s="193">
        <v>100</v>
      </c>
      <c r="BX10" s="193">
        <v>574.58333333333337</v>
      </c>
      <c r="BY10" s="193">
        <v>597.16666666666663</v>
      </c>
      <c r="BZ10" s="193">
        <v>97.619047619047635</v>
      </c>
      <c r="CA10" s="193">
        <v>100</v>
      </c>
      <c r="CB10" s="193">
        <v>594.3888888888888</v>
      </c>
      <c r="CC10" s="193">
        <v>781.16666666666663</v>
      </c>
      <c r="CD10" s="193">
        <v>98.809523809523824</v>
      </c>
      <c r="CE10" s="193">
        <v>100</v>
      </c>
      <c r="CF10" s="193">
        <v>584.48611111111109</v>
      </c>
      <c r="CG10" s="193">
        <v>689.16666666666663</v>
      </c>
      <c r="CH10" s="193">
        <v>59.713313774209794</v>
      </c>
      <c r="CI10" s="107">
        <v>184.62245062657561</v>
      </c>
      <c r="CJ10" s="247" t="s">
        <v>296</v>
      </c>
      <c r="CK10" s="247" t="s">
        <v>296</v>
      </c>
      <c r="CM10" s="247" t="s">
        <v>296</v>
      </c>
      <c r="CO10" s="311" t="s">
        <v>297</v>
      </c>
      <c r="CP10" s="320" t="s">
        <v>407</v>
      </c>
      <c r="CQ10" s="306" t="s">
        <v>297</v>
      </c>
      <c r="CR10" s="311" t="s">
        <v>442</v>
      </c>
      <c r="CS10" s="311" t="s">
        <v>297</v>
      </c>
      <c r="CT10" s="320" t="s">
        <v>560</v>
      </c>
      <c r="CU10" s="311" t="s">
        <v>297</v>
      </c>
      <c r="CV10" s="311" t="s">
        <v>567</v>
      </c>
      <c r="CW10" s="247" t="s">
        <v>296</v>
      </c>
      <c r="CY10" s="247" t="s">
        <v>296</v>
      </c>
      <c r="DE10" s="392">
        <v>77</v>
      </c>
      <c r="DF10" s="393">
        <v>41485</v>
      </c>
      <c r="DG10" s="585">
        <v>96</v>
      </c>
      <c r="DH10" s="393"/>
      <c r="DI10" s="675">
        <v>41394</v>
      </c>
      <c r="DJ10" s="666">
        <v>22.5</v>
      </c>
      <c r="DK10" s="675">
        <v>42059</v>
      </c>
      <c r="DL10" s="666">
        <v>28.5</v>
      </c>
      <c r="DM10" s="397">
        <v>14</v>
      </c>
      <c r="DN10" s="376">
        <v>9.6</v>
      </c>
      <c r="DO10" s="376">
        <v>11.416666666667</v>
      </c>
      <c r="DP10" s="383">
        <v>569</v>
      </c>
      <c r="DQ10" s="383">
        <v>884</v>
      </c>
      <c r="DR10" t="s">
        <v>708</v>
      </c>
    </row>
    <row r="11" spans="1:122" x14ac:dyDescent="0.2">
      <c r="A11" s="216">
        <v>54.09</v>
      </c>
      <c r="B11" s="595" t="s">
        <v>189</v>
      </c>
      <c r="C11" s="595" t="s">
        <v>297</v>
      </c>
      <c r="D11" s="158" t="s">
        <v>297</v>
      </c>
      <c r="E11" s="605" t="s">
        <v>297</v>
      </c>
      <c r="F11" s="16">
        <v>1</v>
      </c>
      <c r="G11" s="5">
        <v>2</v>
      </c>
      <c r="H11" s="152">
        <v>23277</v>
      </c>
      <c r="I11" s="152">
        <v>41530</v>
      </c>
      <c r="J11" s="152"/>
      <c r="K11" s="109"/>
      <c r="L11" s="109"/>
      <c r="M11" s="101">
        <v>50</v>
      </c>
      <c r="N11" s="576"/>
      <c r="O11" s="90">
        <v>100</v>
      </c>
      <c r="P11" s="16">
        <v>3</v>
      </c>
      <c r="R11" s="16">
        <v>16</v>
      </c>
      <c r="T11" s="16">
        <v>10</v>
      </c>
      <c r="V11" s="16">
        <v>6</v>
      </c>
      <c r="X11" s="16">
        <v>99.6</v>
      </c>
      <c r="Z11" s="484">
        <v>11</v>
      </c>
      <c r="AB11">
        <f>(1*60)+27</f>
        <v>87</v>
      </c>
      <c r="AC11" s="644"/>
      <c r="AD11" s="644">
        <f>(2*60)+28</f>
        <v>148</v>
      </c>
      <c r="AE11" s="644"/>
      <c r="AF11" s="380">
        <v>61</v>
      </c>
      <c r="AG11" s="380"/>
      <c r="AH11" s="102">
        <v>1.7011494252873562</v>
      </c>
      <c r="AI11" s="102"/>
      <c r="AJ11" s="16">
        <v>6</v>
      </c>
      <c r="AL11" s="16">
        <v>49</v>
      </c>
      <c r="AN11" s="91">
        <v>619.6</v>
      </c>
      <c r="AO11" s="91">
        <v>6.38</v>
      </c>
      <c r="AP11" s="91">
        <v>1.17</v>
      </c>
      <c r="AT11" s="5" t="s">
        <v>134</v>
      </c>
      <c r="AU11" s="16">
        <v>62</v>
      </c>
      <c r="AV11" s="16">
        <v>1</v>
      </c>
      <c r="AW11" s="16">
        <v>1</v>
      </c>
      <c r="AX11" s="16">
        <v>2</v>
      </c>
      <c r="AY11" s="74">
        <v>96.875</v>
      </c>
      <c r="BA11" s="30">
        <v>3.12</v>
      </c>
      <c r="BC11" s="225"/>
      <c r="BD11" s="628"/>
      <c r="BE11" s="201"/>
      <c r="BF11" s="202"/>
      <c r="BG11" s="108" t="s">
        <v>68</v>
      </c>
      <c r="BH11" s="74">
        <v>92.857142857142847</v>
      </c>
      <c r="BI11" s="30">
        <v>95.238095238095241</v>
      </c>
      <c r="BJ11" s="30">
        <v>773.77777777777771</v>
      </c>
      <c r="BK11" s="30">
        <v>1042.8611111111111</v>
      </c>
      <c r="BL11" s="30">
        <v>100</v>
      </c>
      <c r="BM11" s="30">
        <v>97.619047619047635</v>
      </c>
      <c r="BN11" s="30">
        <v>556.58333333333337</v>
      </c>
      <c r="BO11" s="30">
        <v>806.02777777777783</v>
      </c>
      <c r="BP11" s="30">
        <v>96.428571428571416</v>
      </c>
      <c r="BQ11" s="30">
        <v>96.428571428571445</v>
      </c>
      <c r="BR11" s="30">
        <v>665.18055555555554</v>
      </c>
      <c r="BS11" s="30">
        <v>924.44444444444446</v>
      </c>
      <c r="BT11" s="30">
        <v>292.68753320710755</v>
      </c>
      <c r="BU11" s="107">
        <v>266.57397063138353</v>
      </c>
      <c r="CJ11" s="311" t="s">
        <v>297</v>
      </c>
      <c r="CK11" s="311" t="s">
        <v>297</v>
      </c>
      <c r="CL11" s="320" t="s">
        <v>383</v>
      </c>
      <c r="CM11" s="306" t="s">
        <v>297</v>
      </c>
      <c r="CN11" s="311" t="s">
        <v>393</v>
      </c>
      <c r="CO11" s="247" t="s">
        <v>296</v>
      </c>
      <c r="CQ11" s="306" t="s">
        <v>297</v>
      </c>
      <c r="CR11" s="311" t="s">
        <v>414</v>
      </c>
      <c r="CS11" s="247" t="s">
        <v>296</v>
      </c>
      <c r="CU11" s="247" t="s">
        <v>296</v>
      </c>
      <c r="CW11" s="311" t="s">
        <v>297</v>
      </c>
      <c r="CX11" s="320" t="s">
        <v>536</v>
      </c>
      <c r="CY11" s="247" t="s">
        <v>296</v>
      </c>
      <c r="DE11" s="388">
        <v>115.66666666666667</v>
      </c>
      <c r="DF11" s="414">
        <v>41359</v>
      </c>
      <c r="DG11" s="586"/>
      <c r="DH11" s="414"/>
      <c r="DI11" s="675">
        <v>41359</v>
      </c>
      <c r="DJ11" s="666">
        <v>30.5</v>
      </c>
      <c r="DK11" s="667"/>
      <c r="DL11" s="668"/>
      <c r="DM11" s="398">
        <v>20</v>
      </c>
      <c r="DN11" s="399">
        <v>29.5</v>
      </c>
      <c r="DO11" s="399"/>
      <c r="DP11" s="398">
        <v>646</v>
      </c>
      <c r="DQ11" s="398">
        <v>1293</v>
      </c>
      <c r="DR11" t="s">
        <v>709</v>
      </c>
    </row>
    <row r="12" spans="1:122" x14ac:dyDescent="0.2">
      <c r="A12" s="216">
        <v>54.1</v>
      </c>
      <c r="B12" s="595" t="s">
        <v>190</v>
      </c>
      <c r="C12" s="595" t="s">
        <v>297</v>
      </c>
      <c r="D12" s="158" t="s">
        <v>297</v>
      </c>
      <c r="E12" s="605" t="s">
        <v>297</v>
      </c>
      <c r="F12" s="22">
        <v>1</v>
      </c>
      <c r="G12" s="5">
        <v>1</v>
      </c>
      <c r="H12" s="152">
        <v>23423</v>
      </c>
      <c r="I12" s="152">
        <v>41530</v>
      </c>
      <c r="J12" s="152">
        <v>42251</v>
      </c>
      <c r="K12" s="109">
        <f t="shared" si="0"/>
        <v>1.9753424657534246</v>
      </c>
      <c r="L12" s="109">
        <f t="shared" si="1"/>
        <v>23.704109589041096</v>
      </c>
      <c r="M12" s="101">
        <v>49.6</v>
      </c>
      <c r="N12" s="576">
        <v>51.6</v>
      </c>
      <c r="O12" s="90">
        <v>100</v>
      </c>
      <c r="P12" s="16">
        <v>16</v>
      </c>
      <c r="Q12" s="16">
        <v>17</v>
      </c>
      <c r="R12" s="16">
        <v>14</v>
      </c>
      <c r="S12" s="101">
        <v>11</v>
      </c>
      <c r="T12" s="16">
        <v>8</v>
      </c>
      <c r="U12" s="101">
        <v>7</v>
      </c>
      <c r="V12" s="16">
        <v>6</v>
      </c>
      <c r="W12" s="101">
        <v>4</v>
      </c>
      <c r="X12" s="188">
        <v>98.359999999999985</v>
      </c>
      <c r="Y12" s="188">
        <v>104.56</v>
      </c>
      <c r="Z12" s="485">
        <v>15</v>
      </c>
      <c r="AA12" s="347">
        <v>15</v>
      </c>
      <c r="AB12">
        <f>(1*60)+34</f>
        <v>94</v>
      </c>
      <c r="AC12" s="644">
        <f>(1*60)+30</f>
        <v>90</v>
      </c>
      <c r="AD12" s="644">
        <f>(4*60)+54</f>
        <v>294</v>
      </c>
      <c r="AE12" s="644">
        <f>(4*60)+42</f>
        <v>282</v>
      </c>
      <c r="AF12" s="380">
        <v>200</v>
      </c>
      <c r="AG12" s="380">
        <v>192</v>
      </c>
      <c r="AH12" s="102">
        <v>3.1276595744680851</v>
      </c>
      <c r="AI12" s="102">
        <v>3.1333333333333333</v>
      </c>
      <c r="AJ12" s="16">
        <v>6</v>
      </c>
      <c r="AK12" s="508">
        <v>4</v>
      </c>
      <c r="AL12" s="16">
        <v>53</v>
      </c>
      <c r="AM12" s="91">
        <v>50</v>
      </c>
      <c r="AN12" s="91">
        <v>515.13</v>
      </c>
      <c r="AO12" s="91">
        <v>8.4</v>
      </c>
      <c r="AP12" s="91">
        <v>15.03</v>
      </c>
      <c r="AQ12" s="107">
        <v>607.47624434389138</v>
      </c>
      <c r="AR12" s="107">
        <v>11.940863742321094</v>
      </c>
      <c r="AS12" s="107">
        <v>20.712478790502423</v>
      </c>
      <c r="AT12" s="5" t="s">
        <v>143</v>
      </c>
      <c r="AU12" s="16">
        <v>63</v>
      </c>
      <c r="AV12" s="16">
        <v>0</v>
      </c>
      <c r="AW12" s="16">
        <v>1</v>
      </c>
      <c r="AX12" s="16">
        <v>1</v>
      </c>
      <c r="AY12" s="74">
        <v>98.4375</v>
      </c>
      <c r="AZ12" s="30">
        <v>98.4375</v>
      </c>
      <c r="BA12" s="30">
        <v>1.56</v>
      </c>
      <c r="BB12" s="30">
        <v>1.56</v>
      </c>
      <c r="BC12" s="90">
        <v>100</v>
      </c>
      <c r="BD12" s="508">
        <v>75</v>
      </c>
      <c r="BE12" s="30">
        <v>1.0416666666666667</v>
      </c>
      <c r="BF12" s="107">
        <v>0.78125</v>
      </c>
      <c r="BG12" s="108" t="s">
        <v>67</v>
      </c>
      <c r="BH12" s="74">
        <v>95.238095238095241</v>
      </c>
      <c r="BI12" s="30">
        <v>95.238095238095241</v>
      </c>
      <c r="BJ12" s="30">
        <v>679.22222222222217</v>
      </c>
      <c r="BK12" s="30">
        <v>873.08333333333337</v>
      </c>
      <c r="BL12" s="30">
        <v>100</v>
      </c>
      <c r="BM12" s="30">
        <v>95.238095238095241</v>
      </c>
      <c r="BN12" s="30">
        <v>550.33333333333337</v>
      </c>
      <c r="BO12" s="30">
        <v>841</v>
      </c>
      <c r="BP12" s="30">
        <v>97.61904761904762</v>
      </c>
      <c r="BQ12" s="30">
        <v>95.238095238095241</v>
      </c>
      <c r="BR12" s="30">
        <v>614.77777777777783</v>
      </c>
      <c r="BS12" s="30">
        <v>857.04166666666674</v>
      </c>
      <c r="BT12" s="30">
        <v>201.14441517868636</v>
      </c>
      <c r="BU12" s="107">
        <v>244.88741825387351</v>
      </c>
      <c r="BV12" s="193">
        <v>73.80952380952381</v>
      </c>
      <c r="BW12" s="193">
        <v>76.19047619047619</v>
      </c>
      <c r="BX12" s="193">
        <v>290.33333333333331</v>
      </c>
      <c r="BY12" s="193">
        <v>681.33333333333337</v>
      </c>
      <c r="BZ12" s="193">
        <v>100</v>
      </c>
      <c r="CA12" s="193">
        <v>90.476190476190482</v>
      </c>
      <c r="CB12" s="193">
        <v>524.75</v>
      </c>
      <c r="CC12" s="193">
        <v>764.05555555555554</v>
      </c>
      <c r="CD12" s="193">
        <v>86.904761904761898</v>
      </c>
      <c r="CE12" s="193">
        <v>83.333333333333343</v>
      </c>
      <c r="CF12" s="193">
        <v>407.54166666666663</v>
      </c>
      <c r="CG12" s="193">
        <v>722.69444444444446</v>
      </c>
      <c r="CH12" s="107">
        <v>110.25768186505834</v>
      </c>
      <c r="CI12" s="107">
        <v>169.39155823121766</v>
      </c>
      <c r="CJ12" s="311" t="s">
        <v>297</v>
      </c>
      <c r="CK12" s="247" t="s">
        <v>296</v>
      </c>
      <c r="CM12" s="247" t="s">
        <v>296</v>
      </c>
      <c r="CO12" s="247" t="s">
        <v>296</v>
      </c>
      <c r="CQ12" s="247" t="s">
        <v>296</v>
      </c>
      <c r="CS12" s="247" t="s">
        <v>296</v>
      </c>
      <c r="CU12" s="311" t="s">
        <v>297</v>
      </c>
      <c r="CV12" s="311" t="s">
        <v>568</v>
      </c>
      <c r="CW12" s="311" t="s">
        <v>297</v>
      </c>
      <c r="CX12" s="320" t="s">
        <v>383</v>
      </c>
      <c r="CY12" s="311" t="s">
        <v>297</v>
      </c>
      <c r="CZ12" s="311" t="s">
        <v>584</v>
      </c>
      <c r="DA12" s="311"/>
      <c r="DB12" s="311"/>
      <c r="DC12" s="311"/>
      <c r="DD12" s="311"/>
      <c r="DE12" s="400">
        <v>93.5</v>
      </c>
      <c r="DF12" s="401">
        <v>40981</v>
      </c>
      <c r="DG12" s="399">
        <v>107</v>
      </c>
      <c r="DH12" s="661">
        <v>42350</v>
      </c>
      <c r="DI12" s="669" t="s">
        <v>833</v>
      </c>
      <c r="DJ12" s="670"/>
      <c r="DK12" s="667" t="s">
        <v>833</v>
      </c>
      <c r="DL12" s="668"/>
      <c r="DM12" s="398">
        <v>26</v>
      </c>
      <c r="DN12" s="399">
        <v>23.1</v>
      </c>
      <c r="DO12" s="399">
        <v>28.05</v>
      </c>
      <c r="DP12" s="398">
        <v>560</v>
      </c>
      <c r="DQ12" s="398">
        <v>989</v>
      </c>
      <c r="DR12" t="s">
        <v>710</v>
      </c>
    </row>
    <row r="13" spans="1:122" x14ac:dyDescent="0.2">
      <c r="A13" s="216">
        <v>54.11</v>
      </c>
      <c r="B13" s="595" t="s">
        <v>224</v>
      </c>
      <c r="C13" s="595" t="s">
        <v>297</v>
      </c>
      <c r="D13" s="158" t="s">
        <v>297</v>
      </c>
      <c r="E13" s="605" t="s">
        <v>297</v>
      </c>
      <c r="F13" s="22">
        <v>1</v>
      </c>
      <c r="G13" s="5">
        <v>2</v>
      </c>
      <c r="H13" s="152">
        <v>29954</v>
      </c>
      <c r="I13" s="152">
        <v>41547</v>
      </c>
      <c r="J13" s="152">
        <v>42272</v>
      </c>
      <c r="K13" s="109">
        <f t="shared" si="0"/>
        <v>1.9863013698630136</v>
      </c>
      <c r="L13" s="109">
        <f t="shared" si="1"/>
        <v>23.835616438356162</v>
      </c>
      <c r="M13" s="101">
        <v>31.7</v>
      </c>
      <c r="N13" s="576">
        <v>33.700000000000003</v>
      </c>
      <c r="O13" s="90">
        <v>100</v>
      </c>
      <c r="P13" s="16">
        <v>13</v>
      </c>
      <c r="Q13" s="22">
        <v>9</v>
      </c>
      <c r="R13" s="16">
        <v>20</v>
      </c>
      <c r="S13" s="101">
        <v>19</v>
      </c>
      <c r="T13" s="16">
        <v>13</v>
      </c>
      <c r="U13" s="101">
        <v>12</v>
      </c>
      <c r="V13" s="16">
        <v>7</v>
      </c>
      <c r="W13" s="101">
        <v>7</v>
      </c>
      <c r="X13" s="16">
        <v>112</v>
      </c>
      <c r="Y13" s="16">
        <v>114.47999999999999</v>
      </c>
      <c r="Z13" s="484">
        <v>13</v>
      </c>
      <c r="AA13" s="101">
        <v>13</v>
      </c>
      <c r="AB13">
        <f>(0*60)+56</f>
        <v>56</v>
      </c>
      <c r="AC13" s="644">
        <v>50</v>
      </c>
      <c r="AD13" s="644">
        <f>(1*60)+21</f>
        <v>81</v>
      </c>
      <c r="AE13" s="644">
        <f>(1*60)+52</f>
        <v>112</v>
      </c>
      <c r="AF13" s="380">
        <v>25</v>
      </c>
      <c r="AG13" s="380">
        <v>62</v>
      </c>
      <c r="AH13" s="102">
        <v>1.4464285714285714</v>
      </c>
      <c r="AI13" s="102">
        <v>2.2400000000000002</v>
      </c>
      <c r="AJ13" s="16">
        <v>6</v>
      </c>
      <c r="AK13" s="508">
        <v>6</v>
      </c>
      <c r="AL13" s="16">
        <v>61</v>
      </c>
      <c r="AM13" s="91">
        <v>67</v>
      </c>
      <c r="AN13" s="91">
        <v>616.54</v>
      </c>
      <c r="AO13" s="91">
        <v>5.0599999999999996</v>
      </c>
      <c r="AP13" s="91">
        <v>6.44</v>
      </c>
      <c r="AQ13" s="107">
        <v>809.26886446886442</v>
      </c>
      <c r="AR13" s="107">
        <v>4.155176273319336</v>
      </c>
      <c r="AS13" s="107">
        <v>4.3128162848812579</v>
      </c>
      <c r="AT13" s="5" t="s">
        <v>134</v>
      </c>
      <c r="AU13" s="16">
        <v>58</v>
      </c>
      <c r="AV13" s="16">
        <v>1</v>
      </c>
      <c r="AW13" s="16">
        <v>5</v>
      </c>
      <c r="AX13" s="16">
        <v>6</v>
      </c>
      <c r="AY13" s="74">
        <v>90.63</v>
      </c>
      <c r="AZ13" s="30">
        <v>100</v>
      </c>
      <c r="BA13" s="30">
        <v>9.3699999999999992</v>
      </c>
      <c r="BB13" s="30">
        <v>0</v>
      </c>
      <c r="BC13" s="90">
        <v>82</v>
      </c>
      <c r="BD13" s="508">
        <v>77</v>
      </c>
      <c r="BE13" s="30">
        <v>0.85416666666666663</v>
      </c>
      <c r="BF13" s="107">
        <v>0.80208333333333337</v>
      </c>
      <c r="BG13" s="108" t="s">
        <v>67</v>
      </c>
      <c r="BH13" s="74">
        <v>100</v>
      </c>
      <c r="BI13" s="30">
        <v>97.619047619047635</v>
      </c>
      <c r="BJ13" s="30">
        <v>570.41666666666663</v>
      </c>
      <c r="BK13" s="30">
        <v>649.75</v>
      </c>
      <c r="BL13" s="30">
        <v>100</v>
      </c>
      <c r="BM13" s="30">
        <v>100</v>
      </c>
      <c r="BN13" s="30">
        <v>603.66666666666663</v>
      </c>
      <c r="BO13" s="30">
        <v>631.41666666666663</v>
      </c>
      <c r="BP13" s="30">
        <v>100</v>
      </c>
      <c r="BQ13" s="30">
        <v>98.809523809523824</v>
      </c>
      <c r="BR13" s="30">
        <v>587.04166666666663</v>
      </c>
      <c r="BS13" s="30">
        <v>640.58333333333326</v>
      </c>
      <c r="BT13" s="30">
        <v>101.15011623568576</v>
      </c>
      <c r="BU13" s="107">
        <v>164.63871293563213</v>
      </c>
      <c r="BV13" s="193">
        <v>100</v>
      </c>
      <c r="BW13" s="193">
        <v>97.619047619047635</v>
      </c>
      <c r="BX13" s="193">
        <v>552.08333333333337</v>
      </c>
      <c r="BY13" s="193">
        <v>537.66666666666663</v>
      </c>
      <c r="BZ13" s="193">
        <v>100</v>
      </c>
      <c r="CA13" s="193">
        <v>100</v>
      </c>
      <c r="CB13" s="193">
        <v>604.5</v>
      </c>
      <c r="CC13" s="193">
        <v>571.66666666666663</v>
      </c>
      <c r="CD13" s="193">
        <v>100</v>
      </c>
      <c r="CE13" s="193">
        <v>98.809523809523824</v>
      </c>
      <c r="CF13" s="193">
        <v>578.29166666666674</v>
      </c>
      <c r="CG13" s="193">
        <v>554.66666666666663</v>
      </c>
      <c r="CH13" s="193">
        <v>75.573447813982526</v>
      </c>
      <c r="CI13" s="107">
        <v>74.640976429296714</v>
      </c>
      <c r="CJ13" s="247" t="s">
        <v>296</v>
      </c>
      <c r="CK13" s="247" t="s">
        <v>296</v>
      </c>
      <c r="CM13" s="247" t="s">
        <v>296</v>
      </c>
      <c r="CO13" s="247" t="s">
        <v>296</v>
      </c>
      <c r="CQ13" s="247" t="s">
        <v>296</v>
      </c>
      <c r="CS13" s="247" t="s">
        <v>296</v>
      </c>
      <c r="CU13" s="247" t="s">
        <v>296</v>
      </c>
      <c r="CW13" s="247" t="s">
        <v>296</v>
      </c>
      <c r="CY13" s="247" t="s">
        <v>296</v>
      </c>
      <c r="DE13" s="392">
        <v>102</v>
      </c>
      <c r="DF13" s="402">
        <v>41422</v>
      </c>
      <c r="DG13" s="376">
        <v>110</v>
      </c>
      <c r="DH13" s="402"/>
      <c r="DI13" s="675">
        <v>41422</v>
      </c>
      <c r="DJ13" s="666">
        <v>28</v>
      </c>
      <c r="DK13" s="675">
        <v>42269</v>
      </c>
      <c r="DL13" s="666">
        <v>28.5</v>
      </c>
      <c r="DM13" s="383">
        <v>18</v>
      </c>
      <c r="DN13" s="376">
        <v>13.3</v>
      </c>
      <c r="DO13" s="376">
        <v>15.666666666667</v>
      </c>
      <c r="DP13" s="383">
        <v>447</v>
      </c>
      <c r="DQ13" s="383">
        <v>967</v>
      </c>
      <c r="DR13" t="s">
        <v>711</v>
      </c>
    </row>
    <row r="14" spans="1:122" x14ac:dyDescent="0.2">
      <c r="A14" s="216">
        <v>54.12</v>
      </c>
      <c r="B14" s="595" t="s">
        <v>258</v>
      </c>
      <c r="C14" s="595" t="s">
        <v>297</v>
      </c>
      <c r="D14" s="158" t="s">
        <v>297</v>
      </c>
      <c r="E14" s="605" t="s">
        <v>297</v>
      </c>
      <c r="F14" s="22">
        <v>1</v>
      </c>
      <c r="G14" s="5">
        <v>1</v>
      </c>
      <c r="H14" s="152">
        <v>21876</v>
      </c>
      <c r="I14" s="152">
        <v>41558</v>
      </c>
      <c r="J14" s="152">
        <v>42304</v>
      </c>
      <c r="K14" s="109">
        <f t="shared" si="0"/>
        <v>2.043835616438356</v>
      </c>
      <c r="L14" s="109">
        <f t="shared" si="1"/>
        <v>24.526027397260272</v>
      </c>
      <c r="M14" s="101">
        <v>53.9</v>
      </c>
      <c r="N14" s="576">
        <v>55.9</v>
      </c>
      <c r="O14" s="90">
        <v>77.8</v>
      </c>
      <c r="P14" s="16">
        <v>1</v>
      </c>
      <c r="Q14" s="22">
        <v>4</v>
      </c>
      <c r="R14" s="16">
        <v>23</v>
      </c>
      <c r="S14" s="101">
        <v>16</v>
      </c>
      <c r="T14" s="16">
        <v>12</v>
      </c>
      <c r="U14" s="101">
        <v>9</v>
      </c>
      <c r="V14" s="16">
        <v>11</v>
      </c>
      <c r="W14" s="101">
        <v>7</v>
      </c>
      <c r="X14" s="16">
        <v>112</v>
      </c>
      <c r="Y14" s="16">
        <v>112</v>
      </c>
      <c r="Z14" s="484">
        <v>12</v>
      </c>
      <c r="AA14" s="101">
        <v>12</v>
      </c>
      <c r="AB14">
        <f>(1*60)+39</f>
        <v>99</v>
      </c>
      <c r="AC14" s="644">
        <f>(1*60)+44</f>
        <v>104</v>
      </c>
      <c r="AD14" s="644">
        <f>(2*60)+28</f>
        <v>148</v>
      </c>
      <c r="AE14" s="644">
        <f>(3*60)+26</f>
        <v>206</v>
      </c>
      <c r="AF14" s="380">
        <v>49</v>
      </c>
      <c r="AG14" s="380">
        <v>102</v>
      </c>
      <c r="AH14" s="102">
        <v>1.494949494949495</v>
      </c>
      <c r="AI14" s="102">
        <v>1.9807692307692308</v>
      </c>
      <c r="AJ14" s="16">
        <v>6</v>
      </c>
      <c r="AK14" s="508">
        <v>6</v>
      </c>
      <c r="AL14" s="16">
        <v>45</v>
      </c>
      <c r="AM14" s="91">
        <v>45</v>
      </c>
      <c r="AN14" s="91">
        <v>528.12</v>
      </c>
      <c r="AO14" s="91">
        <v>7.11</v>
      </c>
      <c r="AP14" s="91">
        <v>12.36</v>
      </c>
      <c r="AQ14" s="107">
        <v>545.77650498796015</v>
      </c>
      <c r="AR14" s="107">
        <v>10.266609188586546</v>
      </c>
      <c r="AS14" s="107">
        <v>13.066399418631795</v>
      </c>
      <c r="AT14" s="5" t="s">
        <v>143</v>
      </c>
      <c r="AU14" s="16">
        <v>61</v>
      </c>
      <c r="AV14" s="16">
        <v>1</v>
      </c>
      <c r="AW14" s="16">
        <v>2</v>
      </c>
      <c r="AX14" s="16">
        <v>3</v>
      </c>
      <c r="AY14" s="74">
        <v>95.3125</v>
      </c>
      <c r="AZ14" s="30">
        <v>96.875</v>
      </c>
      <c r="BA14" s="30">
        <v>4.6875</v>
      </c>
      <c r="BB14" s="30">
        <v>3.13</v>
      </c>
      <c r="BC14" s="90">
        <v>66</v>
      </c>
      <c r="BD14" s="508">
        <v>80</v>
      </c>
      <c r="BE14" s="30">
        <v>0.6875</v>
      </c>
      <c r="BF14" s="107">
        <v>0.83333333333333337</v>
      </c>
      <c r="BG14" s="108" t="s">
        <v>68</v>
      </c>
      <c r="BH14" s="74">
        <v>100</v>
      </c>
      <c r="BI14" s="30">
        <v>100</v>
      </c>
      <c r="BJ14" s="30">
        <v>532.91666666666663</v>
      </c>
      <c r="BK14" s="30">
        <v>610.58333333333337</v>
      </c>
      <c r="BL14" s="30">
        <v>100</v>
      </c>
      <c r="BM14" s="30">
        <v>100</v>
      </c>
      <c r="BN14" s="30">
        <v>535.33333333333337</v>
      </c>
      <c r="BO14" s="30">
        <v>527.08333333333337</v>
      </c>
      <c r="BP14" s="30">
        <v>100</v>
      </c>
      <c r="BQ14" s="30">
        <v>100</v>
      </c>
      <c r="BR14" s="30">
        <v>534.125</v>
      </c>
      <c r="BS14" s="30">
        <v>568.83333333333337</v>
      </c>
      <c r="BT14" s="30">
        <v>55.414887734332687</v>
      </c>
      <c r="BU14" s="107">
        <v>138.91870211422736</v>
      </c>
      <c r="BV14" s="193">
        <v>100</v>
      </c>
      <c r="BW14" s="193">
        <v>100</v>
      </c>
      <c r="BX14" s="193">
        <v>582.16666666666663</v>
      </c>
      <c r="BY14" s="193">
        <v>643.25</v>
      </c>
      <c r="BZ14" s="193">
        <v>100</v>
      </c>
      <c r="CA14" s="193">
        <v>95.238095238095241</v>
      </c>
      <c r="CB14" s="193">
        <v>616.41666666666663</v>
      </c>
      <c r="CC14" s="193">
        <v>614.8611111111112</v>
      </c>
      <c r="CD14" s="193">
        <v>100</v>
      </c>
      <c r="CE14" s="193">
        <v>97.61904761904762</v>
      </c>
      <c r="CF14" s="193">
        <v>599.29166666666663</v>
      </c>
      <c r="CG14" s="193">
        <v>629.05555555555566</v>
      </c>
      <c r="CH14" s="193">
        <v>68.536552714380392</v>
      </c>
      <c r="CI14" s="107">
        <v>83.474404966941577</v>
      </c>
      <c r="CJ14" s="311" t="s">
        <v>297</v>
      </c>
      <c r="CK14" s="247" t="s">
        <v>296</v>
      </c>
      <c r="CM14" s="306" t="s">
        <v>297</v>
      </c>
      <c r="CN14" s="311" t="s">
        <v>394</v>
      </c>
      <c r="CO14" s="247" t="s">
        <v>296</v>
      </c>
      <c r="CQ14" s="306" t="s">
        <v>297</v>
      </c>
      <c r="CR14" s="311" t="s">
        <v>415</v>
      </c>
      <c r="CS14" s="311" t="s">
        <v>297</v>
      </c>
      <c r="CT14" s="320" t="s">
        <v>405</v>
      </c>
      <c r="CU14" s="247" t="s">
        <v>296</v>
      </c>
      <c r="CW14" s="247" t="s">
        <v>296</v>
      </c>
      <c r="CY14" s="247" t="s">
        <v>296</v>
      </c>
      <c r="DE14" s="392">
        <v>102.5</v>
      </c>
      <c r="DF14" s="402">
        <v>41513</v>
      </c>
      <c r="DG14" s="376">
        <v>104.5</v>
      </c>
      <c r="DH14" s="402"/>
      <c r="DI14" s="675">
        <v>41513</v>
      </c>
      <c r="DJ14" s="666">
        <v>24.5</v>
      </c>
      <c r="DK14" s="675">
        <v>42269</v>
      </c>
      <c r="DL14" s="666">
        <v>29</v>
      </c>
      <c r="DM14" s="383">
        <v>28</v>
      </c>
      <c r="DN14" s="376">
        <v>25.75</v>
      </c>
      <c r="DO14" s="376">
        <v>27.833333333333002</v>
      </c>
      <c r="DP14" s="383">
        <v>606</v>
      </c>
      <c r="DQ14" s="383">
        <v>986</v>
      </c>
      <c r="DR14" t="s">
        <v>712</v>
      </c>
    </row>
    <row r="15" spans="1:122" x14ac:dyDescent="0.2">
      <c r="A15" s="216">
        <v>54.13</v>
      </c>
      <c r="B15" s="595" t="s">
        <v>289</v>
      </c>
      <c r="C15" s="595" t="s">
        <v>297</v>
      </c>
      <c r="D15" s="158" t="s">
        <v>297</v>
      </c>
      <c r="E15" s="605" t="s">
        <v>297</v>
      </c>
      <c r="F15" s="22">
        <v>1</v>
      </c>
      <c r="G15" s="5">
        <v>2</v>
      </c>
      <c r="H15" s="152">
        <v>25617</v>
      </c>
      <c r="I15" s="152">
        <v>41565</v>
      </c>
      <c r="J15" s="152">
        <v>42293</v>
      </c>
      <c r="K15" s="109">
        <f t="shared" si="0"/>
        <v>1.9945205479452055</v>
      </c>
      <c r="L15" s="109">
        <f t="shared" si="1"/>
        <v>23.934246575342467</v>
      </c>
      <c r="M15" s="101">
        <v>43.7</v>
      </c>
      <c r="N15" s="576">
        <v>45.7</v>
      </c>
      <c r="O15" s="90">
        <v>100</v>
      </c>
      <c r="P15" s="16">
        <v>0</v>
      </c>
      <c r="Q15" s="22">
        <v>0</v>
      </c>
      <c r="R15" s="16">
        <v>17</v>
      </c>
      <c r="S15" s="101">
        <v>21</v>
      </c>
      <c r="T15" s="16">
        <v>10</v>
      </c>
      <c r="U15" s="101">
        <v>12</v>
      </c>
      <c r="V15" s="16">
        <v>7</v>
      </c>
      <c r="W15" s="101">
        <v>9</v>
      </c>
      <c r="X15" s="16">
        <v>105.8</v>
      </c>
      <c r="Y15" s="16">
        <v>112</v>
      </c>
      <c r="Z15" s="484">
        <v>12</v>
      </c>
      <c r="AA15" s="101">
        <v>12</v>
      </c>
      <c r="AB15">
        <f>(1*60)+15</f>
        <v>75</v>
      </c>
      <c r="AC15" s="644">
        <f>(1*60)+13</f>
        <v>73</v>
      </c>
      <c r="AD15" s="644">
        <f>(1*60)+37</f>
        <v>97</v>
      </c>
      <c r="AE15" s="644">
        <f>(3*60)+27</f>
        <v>207</v>
      </c>
      <c r="AF15" s="380">
        <v>22</v>
      </c>
      <c r="AG15" s="380">
        <v>134</v>
      </c>
      <c r="AH15" s="102">
        <v>1.2933333333333332</v>
      </c>
      <c r="AI15" s="102">
        <v>2.8356164383561642</v>
      </c>
      <c r="AJ15" s="16">
        <v>6</v>
      </c>
      <c r="AK15" s="508">
        <v>6</v>
      </c>
      <c r="AL15" s="16">
        <v>52</v>
      </c>
      <c r="AM15" s="91">
        <v>51</v>
      </c>
      <c r="AN15" s="91">
        <v>827.78</v>
      </c>
      <c r="AO15" s="91">
        <v>10.57</v>
      </c>
      <c r="AP15" s="91">
        <v>3.63</v>
      </c>
      <c r="AQ15" s="107">
        <v>829.07272727272721</v>
      </c>
      <c r="AR15" s="107">
        <v>8.2683525460173932</v>
      </c>
      <c r="AS15" s="107">
        <v>4.2057164236378188</v>
      </c>
      <c r="AT15" s="5" t="s">
        <v>134</v>
      </c>
      <c r="AU15" s="22">
        <v>64</v>
      </c>
      <c r="AV15" s="22">
        <v>0</v>
      </c>
      <c r="AW15" s="22">
        <v>0</v>
      </c>
      <c r="AX15" s="22">
        <v>0</v>
      </c>
      <c r="AY15" s="74">
        <v>100</v>
      </c>
      <c r="AZ15" s="30">
        <v>98.44</v>
      </c>
      <c r="BA15" s="30">
        <v>0</v>
      </c>
      <c r="BB15" s="30">
        <v>1.56</v>
      </c>
      <c r="BC15" s="90">
        <v>110</v>
      </c>
      <c r="BD15" s="508">
        <v>96</v>
      </c>
      <c r="BE15" s="30">
        <v>1.1458333333333333</v>
      </c>
      <c r="BF15" s="107">
        <v>1</v>
      </c>
      <c r="BG15" s="108" t="s">
        <v>68</v>
      </c>
      <c r="BH15" s="74">
        <v>100</v>
      </c>
      <c r="BI15" s="30">
        <v>97.619047619047635</v>
      </c>
      <c r="BJ15" s="30">
        <v>690.91666666666663</v>
      </c>
      <c r="BK15" s="30">
        <v>795.83333333333337</v>
      </c>
      <c r="BL15" s="30">
        <v>100</v>
      </c>
      <c r="BM15" s="30">
        <v>100</v>
      </c>
      <c r="BN15" s="30">
        <v>756.5</v>
      </c>
      <c r="BO15" s="30">
        <v>745.91666666666663</v>
      </c>
      <c r="BP15" s="30">
        <v>100</v>
      </c>
      <c r="BQ15" s="30">
        <v>98.809523809523824</v>
      </c>
      <c r="BR15" s="30">
        <v>723.70833333333326</v>
      </c>
      <c r="BS15" s="30">
        <v>770.875</v>
      </c>
      <c r="BT15" s="30">
        <v>96.65738648607703</v>
      </c>
      <c r="BU15" s="107">
        <v>129.59894048754433</v>
      </c>
      <c r="BV15" s="193">
        <v>97.619047619047635</v>
      </c>
      <c r="BW15" s="193">
        <v>100</v>
      </c>
      <c r="BX15" s="193">
        <v>715.83333333333337</v>
      </c>
      <c r="BY15" s="193">
        <v>839.5</v>
      </c>
      <c r="BZ15" s="193">
        <v>100</v>
      </c>
      <c r="CA15" s="193">
        <v>97.619047619047635</v>
      </c>
      <c r="CB15" s="193">
        <v>840.75</v>
      </c>
      <c r="CC15" s="193">
        <v>793.25</v>
      </c>
      <c r="CD15" s="193">
        <v>98.809523809523824</v>
      </c>
      <c r="CE15" s="193">
        <v>98.809523809523824</v>
      </c>
      <c r="CF15" s="193">
        <v>778.29166666666674</v>
      </c>
      <c r="CG15" s="193">
        <v>816.375</v>
      </c>
      <c r="CH15" s="193">
        <v>127.50157003864253</v>
      </c>
      <c r="CI15" s="107">
        <v>107.60390694818589</v>
      </c>
      <c r="CJ15" s="311" t="s">
        <v>297</v>
      </c>
      <c r="CK15" s="247" t="s">
        <v>296</v>
      </c>
      <c r="CM15" s="306" t="s">
        <v>297</v>
      </c>
      <c r="CN15" s="311" t="s">
        <v>395</v>
      </c>
      <c r="CO15" s="247" t="s">
        <v>296</v>
      </c>
      <c r="CQ15" s="247" t="s">
        <v>296</v>
      </c>
      <c r="CS15" s="311" t="s">
        <v>297</v>
      </c>
      <c r="CT15" s="320" t="s">
        <v>383</v>
      </c>
      <c r="CU15" s="311" t="s">
        <v>297</v>
      </c>
      <c r="CV15" s="311" t="s">
        <v>432</v>
      </c>
      <c r="CW15" s="247" t="s">
        <v>296</v>
      </c>
      <c r="CY15" s="247" t="s">
        <v>296</v>
      </c>
      <c r="DE15" s="392">
        <v>106.5</v>
      </c>
      <c r="DF15" s="402">
        <v>41422</v>
      </c>
      <c r="DG15" s="376">
        <v>117</v>
      </c>
      <c r="DH15" s="402"/>
      <c r="DI15" s="675">
        <v>41422</v>
      </c>
      <c r="DJ15" s="666">
        <v>28.5</v>
      </c>
      <c r="DK15" s="675">
        <v>42150</v>
      </c>
      <c r="DL15" s="666">
        <v>32</v>
      </c>
      <c r="DM15" s="383">
        <v>13</v>
      </c>
      <c r="DN15" s="376">
        <v>30.25</v>
      </c>
      <c r="DO15" s="376">
        <v>32.25</v>
      </c>
      <c r="DP15" s="383">
        <v>706</v>
      </c>
      <c r="DQ15" s="383">
        <v>811</v>
      </c>
      <c r="DR15" t="s">
        <v>713</v>
      </c>
    </row>
    <row r="16" spans="1:122" x14ac:dyDescent="0.2">
      <c r="A16" s="216">
        <v>54.14</v>
      </c>
      <c r="B16" s="595" t="s">
        <v>267</v>
      </c>
      <c r="C16" s="595" t="s">
        <v>297</v>
      </c>
      <c r="D16" s="158" t="s">
        <v>297</v>
      </c>
      <c r="E16" s="605" t="s">
        <v>297</v>
      </c>
      <c r="F16" s="22">
        <v>1</v>
      </c>
      <c r="G16" s="5">
        <v>1</v>
      </c>
      <c r="H16" s="152">
        <v>30604</v>
      </c>
      <c r="I16" s="152">
        <v>41568</v>
      </c>
      <c r="J16" s="152">
        <v>42305</v>
      </c>
      <c r="K16" s="109">
        <f t="shared" si="0"/>
        <v>2.0191780821917806</v>
      </c>
      <c r="L16" s="109">
        <f t="shared" si="1"/>
        <v>24.230136986301368</v>
      </c>
      <c r="M16" s="101">
        <v>30</v>
      </c>
      <c r="N16" s="576">
        <v>32</v>
      </c>
      <c r="O16" s="90">
        <v>100</v>
      </c>
      <c r="P16" s="16">
        <v>0</v>
      </c>
      <c r="Q16" s="22">
        <v>2</v>
      </c>
      <c r="R16" s="16">
        <v>14</v>
      </c>
      <c r="S16" s="101">
        <v>14</v>
      </c>
      <c r="T16" s="16">
        <v>10</v>
      </c>
      <c r="U16" s="101">
        <v>9</v>
      </c>
      <c r="V16" s="16">
        <v>4</v>
      </c>
      <c r="W16" s="101">
        <v>5</v>
      </c>
      <c r="X16" s="22">
        <v>81</v>
      </c>
      <c r="Y16" s="22">
        <v>82.24</v>
      </c>
      <c r="Z16" s="486">
        <v>12</v>
      </c>
      <c r="AA16" s="101">
        <v>14</v>
      </c>
      <c r="AB16">
        <f>(0*60)+52</f>
        <v>52</v>
      </c>
      <c r="AC16" s="644">
        <v>43</v>
      </c>
      <c r="AD16" s="644">
        <f>(1*60)+53</f>
        <v>113</v>
      </c>
      <c r="AE16" s="644">
        <f>(2*60)+0</f>
        <v>120</v>
      </c>
      <c r="AF16" s="380">
        <v>61</v>
      </c>
      <c r="AG16" s="380">
        <v>77</v>
      </c>
      <c r="AH16" s="102">
        <v>2.1730769230769229</v>
      </c>
      <c r="AI16" s="102">
        <v>2.7906976744186047</v>
      </c>
      <c r="AJ16" s="16">
        <v>4</v>
      </c>
      <c r="AK16" s="508">
        <v>8</v>
      </c>
      <c r="AL16" s="16">
        <v>55</v>
      </c>
      <c r="AM16" s="91">
        <v>64</v>
      </c>
      <c r="AN16" s="91">
        <v>436.88</v>
      </c>
      <c r="AO16" s="91">
        <v>8.86</v>
      </c>
      <c r="AP16" s="91">
        <v>21.72</v>
      </c>
      <c r="AQ16" s="107">
        <v>513.09526315789469</v>
      </c>
      <c r="AR16" s="107">
        <v>16.494257307648418</v>
      </c>
      <c r="AS16" s="107">
        <v>17.625168152190344</v>
      </c>
      <c r="AT16" s="5" t="s">
        <v>143</v>
      </c>
      <c r="AU16" s="16">
        <v>63</v>
      </c>
      <c r="AV16" s="16">
        <v>0</v>
      </c>
      <c r="AW16" s="16">
        <v>1</v>
      </c>
      <c r="AX16" s="16">
        <v>1</v>
      </c>
      <c r="AY16" s="74">
        <v>98.4375</v>
      </c>
      <c r="AZ16" s="30">
        <v>100</v>
      </c>
      <c r="BA16" s="30">
        <v>1.5625</v>
      </c>
      <c r="BB16" s="30">
        <v>0</v>
      </c>
      <c r="BC16" s="225"/>
      <c r="BD16" s="628">
        <v>63</v>
      </c>
      <c r="BE16" s="201"/>
      <c r="BF16" s="202">
        <v>0.65625</v>
      </c>
      <c r="BG16" s="108" t="s">
        <v>67</v>
      </c>
      <c r="BH16" s="74">
        <v>100</v>
      </c>
      <c r="BI16" s="30">
        <v>92.857142857142847</v>
      </c>
      <c r="BJ16" s="30">
        <v>509.16666666666669</v>
      </c>
      <c r="BK16" s="30">
        <v>611.5</v>
      </c>
      <c r="BL16" s="30">
        <v>100</v>
      </c>
      <c r="BM16" s="30">
        <v>97.619047619047635</v>
      </c>
      <c r="BN16" s="30">
        <v>514.66666666666663</v>
      </c>
      <c r="BO16" s="30">
        <v>546.1388888888888</v>
      </c>
      <c r="BP16" s="30">
        <v>100</v>
      </c>
      <c r="BQ16" s="30">
        <v>95.238095238095241</v>
      </c>
      <c r="BR16" s="30">
        <v>511.91666666666663</v>
      </c>
      <c r="BS16" s="30">
        <v>578.81944444444434</v>
      </c>
      <c r="BT16" s="30">
        <v>94.500939340473607</v>
      </c>
      <c r="BU16" s="107">
        <v>177.02409037028997</v>
      </c>
      <c r="BV16" s="193">
        <v>97.619047619047635</v>
      </c>
      <c r="BW16" s="193">
        <v>100</v>
      </c>
      <c r="BX16" s="193">
        <v>536.38888888888891</v>
      </c>
      <c r="BY16" s="193">
        <v>580</v>
      </c>
      <c r="BZ16" s="193">
        <v>100</v>
      </c>
      <c r="CA16" s="193">
        <v>100</v>
      </c>
      <c r="CB16" s="193">
        <v>643.41666666666663</v>
      </c>
      <c r="CC16" s="193">
        <v>585.5</v>
      </c>
      <c r="CD16" s="193">
        <v>100</v>
      </c>
      <c r="CE16" s="193">
        <v>98.809523809523824</v>
      </c>
      <c r="CF16" s="193">
        <v>582.75</v>
      </c>
      <c r="CG16" s="193">
        <v>589.90277777777783</v>
      </c>
      <c r="CH16" s="193">
        <v>94.914263371235975</v>
      </c>
      <c r="CI16" s="193">
        <v>231.59652116687937</v>
      </c>
      <c r="CJ16" s="311" t="s">
        <v>297</v>
      </c>
      <c r="CK16" s="247" t="s">
        <v>296</v>
      </c>
      <c r="CM16" s="247" t="s">
        <v>296</v>
      </c>
      <c r="CO16" s="247" t="s">
        <v>296</v>
      </c>
      <c r="CQ16" s="247" t="s">
        <v>296</v>
      </c>
      <c r="CS16" s="247" t="s">
        <v>296</v>
      </c>
      <c r="CU16" s="247" t="s">
        <v>296</v>
      </c>
      <c r="CW16" s="247" t="s">
        <v>296</v>
      </c>
      <c r="CY16" s="247" t="s">
        <v>296</v>
      </c>
      <c r="DE16" s="392">
        <v>36</v>
      </c>
      <c r="DF16" s="402">
        <v>41569</v>
      </c>
      <c r="DG16" s="376">
        <v>36</v>
      </c>
      <c r="DH16" s="402"/>
      <c r="DI16" s="675">
        <v>41569</v>
      </c>
      <c r="DJ16" s="666">
        <v>7.5</v>
      </c>
      <c r="DK16" s="675">
        <v>42304</v>
      </c>
      <c r="DL16" s="666">
        <v>9</v>
      </c>
      <c r="DM16" s="383">
        <v>23</v>
      </c>
      <c r="DN16" s="376">
        <v>7</v>
      </c>
      <c r="DO16" s="376">
        <v>9</v>
      </c>
      <c r="DP16" s="383">
        <v>301</v>
      </c>
      <c r="DQ16" s="383">
        <v>1135</v>
      </c>
      <c r="DR16" t="s">
        <v>714</v>
      </c>
    </row>
    <row r="17" spans="1:124" x14ac:dyDescent="0.2">
      <c r="A17" s="216">
        <v>54.15</v>
      </c>
      <c r="B17" s="595" t="s">
        <v>272</v>
      </c>
      <c r="C17" s="595" t="s">
        <v>297</v>
      </c>
      <c r="D17" s="158" t="s">
        <v>297</v>
      </c>
      <c r="E17" s="605" t="s">
        <v>297</v>
      </c>
      <c r="F17" s="22">
        <v>1</v>
      </c>
      <c r="G17" s="5">
        <v>1</v>
      </c>
      <c r="H17" s="152">
        <v>29849</v>
      </c>
      <c r="I17" s="152">
        <v>41568</v>
      </c>
      <c r="J17" s="152">
        <v>42424</v>
      </c>
      <c r="K17" s="109">
        <f t="shared" si="0"/>
        <v>2.3452054794520549</v>
      </c>
      <c r="L17" s="109">
        <f t="shared" si="1"/>
        <v>28.142465753424659</v>
      </c>
      <c r="M17" s="101">
        <v>32.1</v>
      </c>
      <c r="N17" s="576">
        <v>34.4</v>
      </c>
      <c r="O17" s="90">
        <v>64</v>
      </c>
      <c r="P17" s="16">
        <v>6</v>
      </c>
      <c r="Q17" s="22">
        <v>12</v>
      </c>
      <c r="R17" s="16">
        <v>18</v>
      </c>
      <c r="S17" s="101">
        <v>18</v>
      </c>
      <c r="T17" s="16">
        <v>13</v>
      </c>
      <c r="U17" s="101">
        <v>11</v>
      </c>
      <c r="V17" s="16">
        <v>5</v>
      </c>
      <c r="W17" s="101">
        <v>7</v>
      </c>
      <c r="X17" s="16">
        <v>94.639999999999986</v>
      </c>
      <c r="Y17" s="16">
        <v>102.08</v>
      </c>
      <c r="Z17" s="484">
        <v>16</v>
      </c>
      <c r="AA17" s="101">
        <v>16</v>
      </c>
      <c r="AB17">
        <f>(1*60)+8</f>
        <v>68</v>
      </c>
      <c r="AC17" s="644">
        <f>(1*60)+3</f>
        <v>63</v>
      </c>
      <c r="AD17" s="644">
        <f>(1*60)+33</f>
        <v>93</v>
      </c>
      <c r="AE17" s="644">
        <f>(1*60)+58</f>
        <v>118</v>
      </c>
      <c r="AF17" s="380">
        <v>25</v>
      </c>
      <c r="AG17" s="380">
        <v>55</v>
      </c>
      <c r="AH17" s="102">
        <v>1.3676470588235294</v>
      </c>
      <c r="AI17" s="102">
        <v>1.873015873015873</v>
      </c>
      <c r="AJ17" s="16">
        <v>5</v>
      </c>
      <c r="AK17" s="508">
        <v>8</v>
      </c>
      <c r="AL17" s="16">
        <v>56</v>
      </c>
      <c r="AM17" s="91">
        <v>63</v>
      </c>
      <c r="AN17" s="91">
        <v>316.70999999999998</v>
      </c>
      <c r="AO17" s="91">
        <v>17.27</v>
      </c>
      <c r="AP17" s="91">
        <v>25.94</v>
      </c>
      <c r="AQ17" s="107">
        <v>337.94073153176731</v>
      </c>
      <c r="AR17" s="107">
        <v>14.15408424058557</v>
      </c>
      <c r="AS17" s="107">
        <v>22.057337802586176</v>
      </c>
      <c r="AT17" s="5" t="s">
        <v>134</v>
      </c>
      <c r="AU17" s="16">
        <v>63</v>
      </c>
      <c r="AV17" s="16">
        <v>1</v>
      </c>
      <c r="AW17" s="16">
        <v>0</v>
      </c>
      <c r="AX17" s="16">
        <v>1</v>
      </c>
      <c r="AY17" s="74">
        <v>98.4375</v>
      </c>
      <c r="AZ17" s="30">
        <v>98.44</v>
      </c>
      <c r="BA17" s="30">
        <v>1.5625</v>
      </c>
      <c r="BB17" s="30">
        <v>1.56</v>
      </c>
      <c r="BC17" s="90">
        <v>77</v>
      </c>
      <c r="BD17" s="508">
        <v>52</v>
      </c>
      <c r="BE17" s="30">
        <v>0.80208333333333337</v>
      </c>
      <c r="BF17" s="107">
        <v>0.54166666666666663</v>
      </c>
      <c r="BG17" s="108" t="s">
        <v>67</v>
      </c>
      <c r="BH17" s="74">
        <v>97.619047619047635</v>
      </c>
      <c r="BI17" s="30">
        <v>85.714285714285722</v>
      </c>
      <c r="BJ17" s="30">
        <v>429.25</v>
      </c>
      <c r="BK17" s="30">
        <v>651.3888888888888</v>
      </c>
      <c r="BL17" s="30">
        <v>100</v>
      </c>
      <c r="BM17" s="30">
        <v>88.095238095238088</v>
      </c>
      <c r="BN17" s="30">
        <v>433.58333333333331</v>
      </c>
      <c r="BO17" s="30">
        <v>625.6111111111112</v>
      </c>
      <c r="BP17" s="30">
        <v>98.809523809523824</v>
      </c>
      <c r="BQ17" s="30">
        <v>86.904761904761898</v>
      </c>
      <c r="BR17" s="30">
        <v>431.41666666666663</v>
      </c>
      <c r="BS17" s="30">
        <v>638.5</v>
      </c>
      <c r="BT17" s="30">
        <v>53.73357517836741</v>
      </c>
      <c r="BU17" s="107">
        <v>173.568604897489</v>
      </c>
      <c r="BV17" s="193">
        <v>97.619047619047635</v>
      </c>
      <c r="BW17" s="193">
        <v>95.238095238095241</v>
      </c>
      <c r="BX17" s="193">
        <v>438.5</v>
      </c>
      <c r="BY17" s="193">
        <v>521.08333333333337</v>
      </c>
      <c r="BZ17" s="193">
        <v>100</v>
      </c>
      <c r="CA17" s="193">
        <v>92.857142857142847</v>
      </c>
      <c r="CB17" s="193">
        <v>480.41666666666669</v>
      </c>
      <c r="CC17" s="193">
        <v>675.41666666666663</v>
      </c>
      <c r="CD17" s="193">
        <v>98.809523809523824</v>
      </c>
      <c r="CE17" s="193">
        <v>94.047619047619037</v>
      </c>
      <c r="CF17" s="193">
        <v>459.45833333333337</v>
      </c>
      <c r="CG17" s="193">
        <v>598.25</v>
      </c>
      <c r="CH17" s="107">
        <v>101.82763747442624</v>
      </c>
      <c r="CI17" s="107">
        <v>180.11151437011364</v>
      </c>
      <c r="CJ17" s="247" t="s">
        <v>296</v>
      </c>
      <c r="CK17" s="311" t="s">
        <v>297</v>
      </c>
      <c r="CL17" s="320" t="s">
        <v>384</v>
      </c>
      <c r="CM17" s="306" t="s">
        <v>297</v>
      </c>
      <c r="CN17" s="311" t="s">
        <v>396</v>
      </c>
      <c r="CO17" s="247" t="s">
        <v>296</v>
      </c>
      <c r="CQ17" s="306" t="s">
        <v>297</v>
      </c>
      <c r="CR17" s="311" t="s">
        <v>416</v>
      </c>
      <c r="CS17" s="311" t="s">
        <v>297</v>
      </c>
      <c r="CT17" s="320" t="s">
        <v>561</v>
      </c>
      <c r="CU17" s="311" t="s">
        <v>297</v>
      </c>
      <c r="CV17" s="311" t="s">
        <v>569</v>
      </c>
      <c r="CW17" s="311" t="s">
        <v>297</v>
      </c>
      <c r="CX17" s="320" t="s">
        <v>561</v>
      </c>
      <c r="CY17" s="419" t="s">
        <v>296</v>
      </c>
      <c r="CZ17" s="311"/>
      <c r="DA17" s="311"/>
      <c r="DB17" s="311"/>
      <c r="DC17" s="311"/>
      <c r="DD17" s="311"/>
      <c r="DE17" s="392">
        <v>37.5</v>
      </c>
      <c r="DF17" s="402">
        <v>41569</v>
      </c>
      <c r="DG17" s="376">
        <v>41</v>
      </c>
      <c r="DH17" s="402">
        <v>42424</v>
      </c>
      <c r="DI17" s="675">
        <v>41569</v>
      </c>
      <c r="DJ17" s="666">
        <v>5.5</v>
      </c>
      <c r="DK17" s="675">
        <v>42423</v>
      </c>
      <c r="DL17" s="666">
        <v>7</v>
      </c>
      <c r="DM17" s="383">
        <v>23</v>
      </c>
      <c r="DN17" s="376">
        <v>9.08</v>
      </c>
      <c r="DO17" s="376">
        <v>11.42</v>
      </c>
      <c r="DP17" s="383">
        <v>291</v>
      </c>
      <c r="DQ17" s="383">
        <v>912</v>
      </c>
      <c r="DR17" t="s">
        <v>655</v>
      </c>
    </row>
    <row r="18" spans="1:124" x14ac:dyDescent="0.2">
      <c r="A18" s="216">
        <v>54.16</v>
      </c>
      <c r="B18" s="595" t="s">
        <v>276</v>
      </c>
      <c r="F18" s="22">
        <v>1</v>
      </c>
      <c r="G18" s="5">
        <v>1</v>
      </c>
      <c r="H18" s="152">
        <v>28009</v>
      </c>
      <c r="I18" s="152">
        <v>41569</v>
      </c>
      <c r="J18" s="152">
        <v>42185</v>
      </c>
      <c r="K18" s="109">
        <f t="shared" si="0"/>
        <v>1.6876712328767123</v>
      </c>
      <c r="L18" s="109">
        <f t="shared" si="1"/>
        <v>20.252054794520546</v>
      </c>
      <c r="M18" s="101">
        <v>37.1</v>
      </c>
      <c r="N18" s="576">
        <v>38.799999999999997</v>
      </c>
      <c r="O18" s="90">
        <v>80</v>
      </c>
      <c r="P18" s="16">
        <v>8</v>
      </c>
      <c r="Q18" s="16">
        <v>3</v>
      </c>
      <c r="R18" s="16">
        <v>14</v>
      </c>
      <c r="S18" s="22">
        <v>11</v>
      </c>
      <c r="T18" s="16">
        <v>7</v>
      </c>
      <c r="U18" s="22">
        <v>7</v>
      </c>
      <c r="V18" s="16">
        <v>7</v>
      </c>
      <c r="W18" s="22">
        <v>4</v>
      </c>
      <c r="X18" s="16">
        <v>79.759999999999991</v>
      </c>
      <c r="Y18" s="16">
        <v>92.16</v>
      </c>
      <c r="Z18" s="484">
        <v>11</v>
      </c>
      <c r="AA18" s="22">
        <v>11</v>
      </c>
      <c r="AB18">
        <f>(1*60)+7</f>
        <v>67</v>
      </c>
      <c r="AC18" s="644">
        <f>(1*60)+22</f>
        <v>82</v>
      </c>
      <c r="AD18" s="644">
        <f>(1*60)+52</f>
        <v>112</v>
      </c>
      <c r="AE18" s="644">
        <f>(1*60)+45</f>
        <v>105</v>
      </c>
      <c r="AF18" s="380">
        <v>45</v>
      </c>
      <c r="AG18" s="380">
        <v>23</v>
      </c>
      <c r="AH18" s="102">
        <v>1.6716417910447761</v>
      </c>
      <c r="AI18" s="102">
        <v>1.2804878048780488</v>
      </c>
      <c r="AJ18" s="16">
        <v>6</v>
      </c>
      <c r="AK18" s="380">
        <v>6</v>
      </c>
      <c r="AL18" s="16">
        <v>43</v>
      </c>
      <c r="AM18" s="91">
        <v>48</v>
      </c>
      <c r="AN18" s="91">
        <v>528.09</v>
      </c>
      <c r="AO18" s="91">
        <v>11.12</v>
      </c>
      <c r="AP18" s="91">
        <v>16.28</v>
      </c>
      <c r="AQ18" s="107">
        <v>544.62170426065154</v>
      </c>
      <c r="AR18" s="107">
        <v>12.833185887688156</v>
      </c>
      <c r="AS18" s="107">
        <v>14.87761016180068</v>
      </c>
      <c r="AT18" s="5" t="s">
        <v>143</v>
      </c>
      <c r="AU18" s="22">
        <v>64</v>
      </c>
      <c r="AV18" s="22">
        <v>0</v>
      </c>
      <c r="AW18" s="22">
        <v>0</v>
      </c>
      <c r="AX18" s="22">
        <v>0</v>
      </c>
      <c r="AY18" s="74">
        <v>100</v>
      </c>
      <c r="AZ18" s="30">
        <v>100</v>
      </c>
      <c r="BA18" s="30">
        <v>0</v>
      </c>
      <c r="BB18" s="30">
        <v>0</v>
      </c>
      <c r="BC18" s="90">
        <v>88</v>
      </c>
      <c r="BD18" s="508">
        <v>90</v>
      </c>
      <c r="BE18" s="30">
        <v>0.92</v>
      </c>
      <c r="BF18" s="107">
        <v>0.9375</v>
      </c>
      <c r="BG18" s="108" t="s">
        <v>68</v>
      </c>
      <c r="BH18" s="348">
        <v>73.80952380952381</v>
      </c>
      <c r="BI18" s="349">
        <v>92.857142857142847</v>
      </c>
      <c r="BJ18" s="349">
        <v>590.83333333333337</v>
      </c>
      <c r="BK18" s="349">
        <v>726.58333333333337</v>
      </c>
      <c r="BL18" s="349">
        <v>95.238095238095241</v>
      </c>
      <c r="BM18" s="349">
        <v>88.095238095238088</v>
      </c>
      <c r="BN18" s="349">
        <v>640.75</v>
      </c>
      <c r="BO18" s="349">
        <v>614.5</v>
      </c>
      <c r="BP18" s="349">
        <v>84.523809523809518</v>
      </c>
      <c r="BQ18" s="349">
        <v>90.476190476190467</v>
      </c>
      <c r="BR18" s="349">
        <v>615.79166666666674</v>
      </c>
      <c r="BS18" s="349">
        <v>670.54166666666674</v>
      </c>
      <c r="BT18" s="349">
        <v>174.95354425406418</v>
      </c>
      <c r="BU18" s="350">
        <v>250.15523121830253</v>
      </c>
      <c r="BV18" s="193">
        <v>90.476190476190482</v>
      </c>
      <c r="BW18" s="193">
        <v>83.333333333333329</v>
      </c>
      <c r="BX18" s="193">
        <v>717.88888888888903</v>
      </c>
      <c r="BY18" s="193">
        <v>695.6111111111112</v>
      </c>
      <c r="BZ18" s="193">
        <v>97.619047619047635</v>
      </c>
      <c r="CA18" s="193">
        <v>97.619047619047635</v>
      </c>
      <c r="CB18" s="193">
        <v>476.41666666666669</v>
      </c>
      <c r="CC18" s="193">
        <v>485.27777777777777</v>
      </c>
      <c r="CD18" s="193">
        <v>94.047619047619065</v>
      </c>
      <c r="CE18" s="193">
        <v>90.476190476190482</v>
      </c>
      <c r="CF18" s="193">
        <v>597.15277777777783</v>
      </c>
      <c r="CG18" s="193">
        <v>590.44444444444446</v>
      </c>
      <c r="CH18" s="193">
        <v>314.47723105775867</v>
      </c>
      <c r="CI18" s="107">
        <v>224.4920818318428</v>
      </c>
      <c r="CJ18" s="311" t="s">
        <v>297</v>
      </c>
      <c r="CK18" s="311" t="s">
        <v>297</v>
      </c>
      <c r="CL18" s="320" t="s">
        <v>387</v>
      </c>
      <c r="CM18" s="306" t="s">
        <v>297</v>
      </c>
      <c r="CN18" s="311" t="s">
        <v>397</v>
      </c>
      <c r="CO18" s="311" t="s">
        <v>297</v>
      </c>
      <c r="CP18" s="320" t="s">
        <v>408</v>
      </c>
      <c r="CQ18" s="306" t="s">
        <v>297</v>
      </c>
      <c r="CR18" s="311" t="s">
        <v>417</v>
      </c>
      <c r="CS18" s="311" t="s">
        <v>297</v>
      </c>
      <c r="CT18" s="320" t="s">
        <v>527</v>
      </c>
      <c r="CU18" s="311" t="s">
        <v>297</v>
      </c>
      <c r="CV18" s="311" t="s">
        <v>570</v>
      </c>
      <c r="CW18" s="311" t="s">
        <v>297</v>
      </c>
      <c r="CX18" s="320" t="s">
        <v>525</v>
      </c>
      <c r="CY18" s="311" t="s">
        <v>297</v>
      </c>
      <c r="CZ18" s="311" t="s">
        <v>432</v>
      </c>
      <c r="DA18" s="311"/>
      <c r="DB18" s="311"/>
      <c r="DC18" s="311"/>
      <c r="DD18" s="311"/>
      <c r="DE18" s="392">
        <v>76.5</v>
      </c>
      <c r="DF18" s="402">
        <v>41604</v>
      </c>
      <c r="DG18" s="376">
        <v>81.5</v>
      </c>
      <c r="DH18" s="402"/>
      <c r="DI18" s="675">
        <v>41604</v>
      </c>
      <c r="DJ18" s="666">
        <v>14</v>
      </c>
      <c r="DK18" s="675">
        <v>42185</v>
      </c>
      <c r="DL18" s="666">
        <v>17.5</v>
      </c>
      <c r="DM18" s="383">
        <v>19</v>
      </c>
      <c r="DN18" s="376">
        <v>18</v>
      </c>
      <c r="DO18" s="376">
        <v>19.75</v>
      </c>
      <c r="DP18" s="383">
        <v>476</v>
      </c>
      <c r="DQ18" s="383">
        <v>545</v>
      </c>
      <c r="DR18" t="s">
        <v>715</v>
      </c>
    </row>
    <row r="19" spans="1:124" x14ac:dyDescent="0.2">
      <c r="A19" s="216">
        <v>54.17</v>
      </c>
      <c r="B19" s="595" t="s">
        <v>281</v>
      </c>
      <c r="C19" s="595" t="s">
        <v>297</v>
      </c>
      <c r="D19" s="158" t="s">
        <v>296</v>
      </c>
      <c r="E19" s="605" t="s">
        <v>297</v>
      </c>
      <c r="F19" s="22">
        <v>1</v>
      </c>
      <c r="G19" s="5">
        <v>1</v>
      </c>
      <c r="H19" s="227">
        <v>25193</v>
      </c>
      <c r="I19" s="152">
        <v>41575</v>
      </c>
      <c r="J19" s="152">
        <v>42277</v>
      </c>
      <c r="K19" s="109">
        <f t="shared" si="0"/>
        <v>1.9232876712328768</v>
      </c>
      <c r="L19" s="109">
        <f t="shared" si="1"/>
        <v>23.079452054794523</v>
      </c>
      <c r="M19" s="101">
        <v>44.8</v>
      </c>
      <c r="N19" s="576">
        <v>46.8</v>
      </c>
      <c r="O19" s="90">
        <v>80</v>
      </c>
      <c r="P19" s="16">
        <v>3</v>
      </c>
      <c r="Q19" s="16">
        <v>3</v>
      </c>
      <c r="R19" s="16">
        <v>21</v>
      </c>
      <c r="S19" s="22">
        <v>19</v>
      </c>
      <c r="T19" s="16">
        <v>12</v>
      </c>
      <c r="U19" s="22">
        <v>11</v>
      </c>
      <c r="V19" s="16">
        <v>9</v>
      </c>
      <c r="W19" s="22">
        <v>8</v>
      </c>
      <c r="X19" s="22">
        <v>114.47999999999999</v>
      </c>
      <c r="Y19" s="22">
        <v>118.19999999999999</v>
      </c>
      <c r="Z19" s="486">
        <v>12</v>
      </c>
      <c r="AA19" s="22">
        <v>12</v>
      </c>
      <c r="AB19">
        <f>(0*60)+41</f>
        <v>41</v>
      </c>
      <c r="AC19" s="644">
        <v>48</v>
      </c>
      <c r="AD19" s="644">
        <f>(1*60)+15</f>
        <v>75</v>
      </c>
      <c r="AE19" s="644">
        <f>(1*60)+25</f>
        <v>85</v>
      </c>
      <c r="AF19" s="380">
        <v>34</v>
      </c>
      <c r="AG19" s="380">
        <v>37</v>
      </c>
      <c r="AH19" s="102">
        <v>1.8292682926829269</v>
      </c>
      <c r="AI19" s="102">
        <v>1.7708333333333333</v>
      </c>
      <c r="AJ19" s="16">
        <v>7</v>
      </c>
      <c r="AK19" s="508">
        <v>6</v>
      </c>
      <c r="AL19" s="16">
        <v>56</v>
      </c>
      <c r="AM19" s="91">
        <v>59</v>
      </c>
      <c r="AN19" s="91">
        <v>328.6</v>
      </c>
      <c r="AO19" s="107">
        <v>36.086016056333698</v>
      </c>
      <c r="AP19" s="91">
        <v>25.18</v>
      </c>
      <c r="AQ19" s="107">
        <v>426.89398550724638</v>
      </c>
      <c r="AR19" s="107">
        <v>34.171787800965795</v>
      </c>
      <c r="AS19" s="107">
        <v>39.400666206004125</v>
      </c>
      <c r="AT19" s="5" t="s">
        <v>134</v>
      </c>
      <c r="AU19" s="16">
        <v>64</v>
      </c>
      <c r="AV19" s="16">
        <v>0</v>
      </c>
      <c r="AW19" s="16">
        <v>0</v>
      </c>
      <c r="AX19" s="16">
        <v>0</v>
      </c>
      <c r="AY19" s="74">
        <v>100</v>
      </c>
      <c r="AZ19" s="30">
        <v>100</v>
      </c>
      <c r="BA19" s="30">
        <v>0</v>
      </c>
      <c r="BB19" s="30">
        <v>0</v>
      </c>
      <c r="BC19" s="90">
        <v>70</v>
      </c>
      <c r="BD19" s="508">
        <v>74</v>
      </c>
      <c r="BE19" s="30">
        <v>0.72916666666666663</v>
      </c>
      <c r="BF19" s="107">
        <v>0.77083333333333337</v>
      </c>
      <c r="BG19" s="108" t="s">
        <v>68</v>
      </c>
      <c r="BH19" s="74">
        <v>100</v>
      </c>
      <c r="BI19" s="30">
        <v>100</v>
      </c>
      <c r="BJ19" s="30">
        <v>508.83333333333331</v>
      </c>
      <c r="BK19" s="30">
        <v>545.41666666666663</v>
      </c>
      <c r="BL19" s="30">
        <v>100</v>
      </c>
      <c r="BM19" s="30">
        <v>100</v>
      </c>
      <c r="BN19" s="30">
        <v>561.08333333333337</v>
      </c>
      <c r="BO19" s="30">
        <v>529.33333333333337</v>
      </c>
      <c r="BP19" s="30">
        <v>100</v>
      </c>
      <c r="BQ19" s="30">
        <v>100</v>
      </c>
      <c r="BR19" s="30">
        <v>534.95833333333337</v>
      </c>
      <c r="BS19" s="30">
        <v>537.375</v>
      </c>
      <c r="BT19" s="30">
        <v>107.54876716560058</v>
      </c>
      <c r="BU19" s="107">
        <v>121.11145154630165</v>
      </c>
      <c r="BV19" s="193">
        <v>100</v>
      </c>
      <c r="BW19" s="193">
        <v>100</v>
      </c>
      <c r="BX19" s="193">
        <v>502.16666666666669</v>
      </c>
      <c r="BY19" s="193">
        <v>515.08333333333337</v>
      </c>
      <c r="BZ19" s="193">
        <v>95.238095238095241</v>
      </c>
      <c r="CA19" s="193">
        <v>100</v>
      </c>
      <c r="CB19" s="193">
        <v>485.5</v>
      </c>
      <c r="CC19" s="193">
        <v>551.83333333333337</v>
      </c>
      <c r="CD19" s="193">
        <v>97.61904761904762</v>
      </c>
      <c r="CE19" s="193">
        <v>100</v>
      </c>
      <c r="CF19" s="193">
        <v>493.83333333333337</v>
      </c>
      <c r="CG19" s="193">
        <v>533.45833333333337</v>
      </c>
      <c r="CH19" s="193">
        <v>73.752229148330386</v>
      </c>
      <c r="CI19" s="107">
        <v>117.9395494261385</v>
      </c>
      <c r="CJ19" s="311" t="s">
        <v>297</v>
      </c>
      <c r="CK19" s="311" t="s">
        <v>297</v>
      </c>
      <c r="CL19" s="320" t="s">
        <v>388</v>
      </c>
      <c r="CM19" s="306" t="s">
        <v>297</v>
      </c>
      <c r="CN19" s="311" t="s">
        <v>398</v>
      </c>
      <c r="CO19" s="311" t="s">
        <v>297</v>
      </c>
      <c r="CP19" s="320" t="s">
        <v>409</v>
      </c>
      <c r="CQ19" s="247" t="s">
        <v>296</v>
      </c>
      <c r="CS19" s="311" t="s">
        <v>297</v>
      </c>
      <c r="CT19" s="320" t="s">
        <v>382</v>
      </c>
      <c r="CU19" s="247" t="s">
        <v>296</v>
      </c>
      <c r="CW19" s="247" t="s">
        <v>296</v>
      </c>
      <c r="CY19" s="247" t="s">
        <v>296</v>
      </c>
      <c r="DE19" s="392">
        <v>85.5</v>
      </c>
      <c r="DF19" s="402">
        <v>41576</v>
      </c>
      <c r="DG19" s="376">
        <v>96</v>
      </c>
      <c r="DH19" s="402"/>
      <c r="DI19" s="675">
        <v>41576</v>
      </c>
      <c r="DJ19" s="666">
        <v>22.5</v>
      </c>
      <c r="DK19" s="675">
        <v>42276</v>
      </c>
      <c r="DL19" s="666">
        <v>23.5</v>
      </c>
      <c r="DM19" s="383">
        <v>24</v>
      </c>
      <c r="DN19" s="376">
        <v>20.83</v>
      </c>
      <c r="DO19" s="376">
        <v>22.75</v>
      </c>
      <c r="DP19" s="383">
        <v>682</v>
      </c>
      <c r="DQ19" s="383">
        <v>1041</v>
      </c>
      <c r="DR19" t="s">
        <v>716</v>
      </c>
    </row>
    <row r="20" spans="1:124" s="459" customFormat="1" x14ac:dyDescent="0.2">
      <c r="A20" s="451">
        <v>54.18</v>
      </c>
      <c r="B20" s="597" t="s">
        <v>318</v>
      </c>
      <c r="C20" s="597" t="s">
        <v>297</v>
      </c>
      <c r="D20" s="452" t="s">
        <v>297</v>
      </c>
      <c r="E20" s="607" t="s">
        <v>297</v>
      </c>
      <c r="F20" s="129">
        <v>1</v>
      </c>
      <c r="G20" s="453">
        <v>1</v>
      </c>
      <c r="H20" s="126">
        <v>28130</v>
      </c>
      <c r="I20" s="126">
        <v>41589</v>
      </c>
      <c r="J20" s="126"/>
      <c r="K20" s="109"/>
      <c r="L20" s="109"/>
      <c r="M20" s="129">
        <v>36.799999999999997</v>
      </c>
      <c r="N20" s="577"/>
      <c r="O20" s="150">
        <v>67</v>
      </c>
      <c r="P20" s="229">
        <v>34</v>
      </c>
      <c r="Q20" s="229"/>
      <c r="R20" s="129">
        <v>18</v>
      </c>
      <c r="S20" s="129"/>
      <c r="T20" s="129">
        <v>11</v>
      </c>
      <c r="U20" s="129"/>
      <c r="V20" s="129">
        <v>7</v>
      </c>
      <c r="W20" s="129"/>
      <c r="X20" s="129">
        <v>103.32</v>
      </c>
      <c r="Y20" s="129"/>
      <c r="Z20" s="481">
        <v>12</v>
      </c>
      <c r="AA20" s="129"/>
      <c r="AB20" s="459">
        <f>(0*60)+33</f>
        <v>33</v>
      </c>
      <c r="AC20" s="465"/>
      <c r="AD20" s="465">
        <v>49</v>
      </c>
      <c r="AE20" s="645"/>
      <c r="AF20" s="463">
        <v>16</v>
      </c>
      <c r="AG20" s="463"/>
      <c r="AH20" s="130">
        <v>1.4848484848484849</v>
      </c>
      <c r="AI20" s="130"/>
      <c r="AJ20" s="129">
        <v>7</v>
      </c>
      <c r="AK20" s="504"/>
      <c r="AL20" s="129">
        <v>46</v>
      </c>
      <c r="AM20" s="455"/>
      <c r="AN20" s="455">
        <v>302.60000000000002</v>
      </c>
      <c r="AO20" s="455">
        <v>10.87</v>
      </c>
      <c r="AP20" s="455">
        <v>18.14</v>
      </c>
      <c r="AQ20" s="456"/>
      <c r="AR20" s="456"/>
      <c r="AS20" s="456"/>
      <c r="AT20" s="453" t="s">
        <v>143</v>
      </c>
      <c r="AU20" s="129">
        <v>63</v>
      </c>
      <c r="AV20" s="129">
        <v>1</v>
      </c>
      <c r="AW20" s="129">
        <v>0</v>
      </c>
      <c r="AX20" s="129">
        <v>1</v>
      </c>
      <c r="AY20" s="458">
        <v>98.4375</v>
      </c>
      <c r="AZ20" s="454"/>
      <c r="BA20" s="454">
        <v>1.5625</v>
      </c>
      <c r="BB20" s="454"/>
      <c r="BC20" s="150">
        <v>66</v>
      </c>
      <c r="BD20" s="504"/>
      <c r="BE20" s="454">
        <v>0.6875</v>
      </c>
      <c r="BF20" s="456"/>
      <c r="BG20" s="457" t="s">
        <v>67</v>
      </c>
      <c r="BH20" s="458">
        <v>97.619047619047635</v>
      </c>
      <c r="BI20" s="454">
        <v>95.238095238095241</v>
      </c>
      <c r="BJ20" s="454">
        <v>525.33333333333337</v>
      </c>
      <c r="BK20" s="454">
        <v>679.91666666666663</v>
      </c>
      <c r="BL20" s="454">
        <v>100</v>
      </c>
      <c r="BM20" s="454">
        <v>88.095238095238088</v>
      </c>
      <c r="BN20" s="454">
        <v>475</v>
      </c>
      <c r="BO20" s="454">
        <v>589</v>
      </c>
      <c r="BP20" s="454">
        <v>98.809523809523824</v>
      </c>
      <c r="BQ20" s="454">
        <v>91.666666666666657</v>
      </c>
      <c r="BR20" s="454">
        <v>500.16666666666669</v>
      </c>
      <c r="BS20" s="454">
        <v>634.45833333333326</v>
      </c>
      <c r="BT20" s="459">
        <v>82.069782961588885</v>
      </c>
      <c r="BU20" s="456">
        <v>192.35727601894064</v>
      </c>
      <c r="BV20" s="464"/>
      <c r="BW20" s="464"/>
      <c r="BX20" s="464"/>
      <c r="BY20" s="464"/>
      <c r="BZ20" s="464"/>
      <c r="CA20" s="464"/>
      <c r="CB20" s="464"/>
      <c r="CC20" s="464"/>
      <c r="CD20" s="464"/>
      <c r="CE20" s="464"/>
      <c r="CF20" s="464"/>
      <c r="CG20" s="464"/>
      <c r="CH20" s="464"/>
      <c r="CI20" s="456"/>
      <c r="CJ20" s="313" t="s">
        <v>297</v>
      </c>
      <c r="CK20" s="313" t="s">
        <v>297</v>
      </c>
      <c r="CL20" s="338" t="s">
        <v>389</v>
      </c>
      <c r="CM20" s="313" t="s">
        <v>297</v>
      </c>
      <c r="CN20" s="313" t="s">
        <v>399</v>
      </c>
      <c r="CO20" s="460" t="s">
        <v>296</v>
      </c>
      <c r="CP20" s="461"/>
      <c r="CQ20" s="460" t="s">
        <v>296</v>
      </c>
      <c r="CR20" s="460"/>
      <c r="CS20" s="313" t="s">
        <v>355</v>
      </c>
      <c r="CT20" s="338" t="s">
        <v>554</v>
      </c>
      <c r="CU20" s="313" t="s">
        <v>297</v>
      </c>
      <c r="CV20" s="313" t="s">
        <v>571</v>
      </c>
      <c r="CW20" s="460" t="s">
        <v>296</v>
      </c>
      <c r="CX20" s="461"/>
      <c r="CY20" s="313" t="s">
        <v>297</v>
      </c>
      <c r="CZ20" s="313" t="s">
        <v>432</v>
      </c>
      <c r="DA20" s="313"/>
      <c r="DB20" s="313"/>
      <c r="DC20" s="313"/>
      <c r="DD20" s="313"/>
      <c r="DE20" s="462">
        <v>85.2</v>
      </c>
      <c r="DF20" s="126">
        <v>41296</v>
      </c>
      <c r="DG20" s="130"/>
      <c r="DH20" s="652"/>
      <c r="DI20" s="675">
        <v>41296</v>
      </c>
      <c r="DJ20" s="666">
        <v>22</v>
      </c>
      <c r="DK20" s="667"/>
      <c r="DL20" s="671"/>
      <c r="DM20" s="463">
        <v>21</v>
      </c>
      <c r="DN20" s="464">
        <v>15</v>
      </c>
      <c r="DO20" s="464"/>
      <c r="DP20" s="465">
        <v>527</v>
      </c>
      <c r="DQ20" s="465">
        <v>1058</v>
      </c>
      <c r="DR20" s="459" t="s">
        <v>717</v>
      </c>
    </row>
    <row r="21" spans="1:124" x14ac:dyDescent="0.2">
      <c r="A21" s="216">
        <v>54.19</v>
      </c>
      <c r="B21" s="595" t="s">
        <v>294</v>
      </c>
      <c r="C21" s="595" t="s">
        <v>297</v>
      </c>
      <c r="D21" s="158" t="s">
        <v>297</v>
      </c>
      <c r="E21" s="605" t="s">
        <v>297</v>
      </c>
      <c r="F21" s="22">
        <v>1</v>
      </c>
      <c r="G21" s="5">
        <v>1</v>
      </c>
      <c r="H21" s="152">
        <v>31944</v>
      </c>
      <c r="I21" s="152">
        <v>41590</v>
      </c>
      <c r="J21" s="152">
        <v>42332</v>
      </c>
      <c r="K21" s="109">
        <f t="shared" si="0"/>
        <v>2.032876712328767</v>
      </c>
      <c r="L21" s="109">
        <f t="shared" si="1"/>
        <v>24.394520547945206</v>
      </c>
      <c r="M21" s="101">
        <v>26.4</v>
      </c>
      <c r="N21" s="576">
        <v>28.4</v>
      </c>
      <c r="O21" s="90">
        <v>82</v>
      </c>
      <c r="P21" s="16">
        <v>6</v>
      </c>
      <c r="Q21" s="22">
        <v>13</v>
      </c>
      <c r="R21" s="16">
        <v>23</v>
      </c>
      <c r="S21" s="22">
        <v>25</v>
      </c>
      <c r="T21" s="16">
        <v>16</v>
      </c>
      <c r="U21" s="22">
        <v>15</v>
      </c>
      <c r="V21" s="16">
        <v>7</v>
      </c>
      <c r="W21" s="22">
        <v>10</v>
      </c>
      <c r="X21" s="16">
        <v>110.75999999999999</v>
      </c>
      <c r="Y21" s="16">
        <v>114.47999999999999</v>
      </c>
      <c r="Z21" s="484">
        <v>13</v>
      </c>
      <c r="AA21" s="22">
        <v>13</v>
      </c>
      <c r="AB21">
        <f>(0*60)+51</f>
        <v>51</v>
      </c>
      <c r="AC21" s="644">
        <v>34</v>
      </c>
      <c r="AD21" s="644">
        <f>(1*60)+11</f>
        <v>71</v>
      </c>
      <c r="AE21" s="644">
        <f>(1*60)+34</f>
        <v>94</v>
      </c>
      <c r="AF21" s="380">
        <v>20</v>
      </c>
      <c r="AG21" s="380">
        <v>60</v>
      </c>
      <c r="AH21" s="102">
        <v>1.392156862745098</v>
      </c>
      <c r="AI21" s="102">
        <v>2.7647058823529411</v>
      </c>
      <c r="AJ21" s="16">
        <v>6</v>
      </c>
      <c r="AK21" s="508">
        <v>6</v>
      </c>
      <c r="AL21" s="16">
        <v>51</v>
      </c>
      <c r="AM21" s="91">
        <v>58</v>
      </c>
      <c r="AN21" s="91">
        <v>345.91</v>
      </c>
      <c r="AO21" s="91">
        <v>21.88</v>
      </c>
      <c r="AP21" s="91">
        <v>23.19</v>
      </c>
      <c r="AQ21" s="107">
        <v>385.47582010582011</v>
      </c>
      <c r="AR21" s="107">
        <v>20.624019747315042</v>
      </c>
      <c r="AS21" s="107">
        <v>21.100369593274724</v>
      </c>
      <c r="AT21" s="5" t="s">
        <v>134</v>
      </c>
      <c r="AU21" s="22">
        <v>64</v>
      </c>
      <c r="AV21" s="22">
        <v>0</v>
      </c>
      <c r="AW21" s="22">
        <v>0</v>
      </c>
      <c r="AX21" s="22">
        <v>0</v>
      </c>
      <c r="AY21" s="74">
        <v>100</v>
      </c>
      <c r="AZ21" s="30">
        <v>96.88</v>
      </c>
      <c r="BA21" s="30">
        <v>0</v>
      </c>
      <c r="BB21" s="30">
        <v>3.13</v>
      </c>
      <c r="BC21" s="90">
        <v>67</v>
      </c>
      <c r="BD21" s="508">
        <v>50</v>
      </c>
      <c r="BE21" s="30">
        <v>0.69791666666666663</v>
      </c>
      <c r="BF21" s="107">
        <v>0.52083333333333337</v>
      </c>
      <c r="BG21" s="108" t="s">
        <v>67</v>
      </c>
      <c r="BH21" s="74">
        <v>100</v>
      </c>
      <c r="BI21" s="30">
        <v>90.476190476190482</v>
      </c>
      <c r="BJ21" s="30">
        <v>500.16666666666669</v>
      </c>
      <c r="BK21" s="30">
        <v>594.16666666666663</v>
      </c>
      <c r="BL21" s="30">
        <v>100</v>
      </c>
      <c r="BM21" s="30">
        <v>100</v>
      </c>
      <c r="BN21" s="30">
        <v>559.83333333333337</v>
      </c>
      <c r="BO21" s="30">
        <v>502.25</v>
      </c>
      <c r="BP21" s="30">
        <v>100</v>
      </c>
      <c r="BQ21" s="30">
        <v>95.238095238095241</v>
      </c>
      <c r="BR21" s="30">
        <v>530</v>
      </c>
      <c r="BS21" s="30">
        <v>548.20833333333326</v>
      </c>
      <c r="BT21" s="107">
        <v>174.39011739051688</v>
      </c>
      <c r="BU21" s="30">
        <v>187.40614158762753</v>
      </c>
      <c r="BV21" s="193">
        <v>97.619047619047635</v>
      </c>
      <c r="BW21" s="193">
        <v>100</v>
      </c>
      <c r="BX21" s="193">
        <v>458.25</v>
      </c>
      <c r="BY21" s="193">
        <v>497.75</v>
      </c>
      <c r="BZ21" s="193">
        <v>100</v>
      </c>
      <c r="CA21" s="193">
        <v>100</v>
      </c>
      <c r="CB21" s="193">
        <v>495</v>
      </c>
      <c r="CC21" s="193">
        <v>465</v>
      </c>
      <c r="CD21" s="193">
        <v>98.809523809523824</v>
      </c>
      <c r="CE21" s="193">
        <v>100</v>
      </c>
      <c r="CF21" s="193">
        <v>476.625</v>
      </c>
      <c r="CG21" s="193">
        <v>481.375</v>
      </c>
      <c r="CH21" s="107">
        <v>91.814942659962355</v>
      </c>
      <c r="CI21" s="107">
        <v>137.27465724502514</v>
      </c>
      <c r="CJ21" s="311" t="s">
        <v>298</v>
      </c>
      <c r="CK21" s="247" t="s">
        <v>296</v>
      </c>
      <c r="CM21" s="247" t="s">
        <v>296</v>
      </c>
      <c r="CO21" s="311" t="s">
        <v>297</v>
      </c>
      <c r="CP21" s="320" t="s">
        <v>410</v>
      </c>
      <c r="CQ21" s="306" t="s">
        <v>297</v>
      </c>
      <c r="CR21" s="311" t="s">
        <v>418</v>
      </c>
      <c r="CS21" s="247" t="s">
        <v>296</v>
      </c>
      <c r="CU21" s="311" t="s">
        <v>297</v>
      </c>
      <c r="CV21" s="311" t="s">
        <v>572</v>
      </c>
      <c r="CW21" s="247" t="s">
        <v>296</v>
      </c>
      <c r="CY21" s="311" t="s">
        <v>297</v>
      </c>
      <c r="CZ21" s="311" t="s">
        <v>585</v>
      </c>
      <c r="DA21" s="311"/>
      <c r="DB21" s="311"/>
      <c r="DC21" s="311"/>
      <c r="DD21" s="311"/>
      <c r="DE21" s="428">
        <v>55.5</v>
      </c>
      <c r="DF21" s="429">
        <v>41331</v>
      </c>
      <c r="DG21" s="404">
        <v>67</v>
      </c>
      <c r="DH21" s="653"/>
      <c r="DI21" s="675">
        <v>41331</v>
      </c>
      <c r="DJ21" s="666">
        <v>10</v>
      </c>
      <c r="DK21" s="675">
        <v>42241</v>
      </c>
      <c r="DL21" s="666">
        <v>15</v>
      </c>
      <c r="DM21" s="403">
        <v>16</v>
      </c>
      <c r="DN21" s="404">
        <v>9.6</v>
      </c>
      <c r="DO21" s="404">
        <v>12.166666666667</v>
      </c>
      <c r="DP21" s="403">
        <v>558</v>
      </c>
      <c r="DQ21" s="403">
        <v>784</v>
      </c>
      <c r="DR21" s="231" t="s">
        <v>718</v>
      </c>
      <c r="DS21" s="231"/>
      <c r="DT21" s="231"/>
    </row>
    <row r="22" spans="1:124" s="170" customFormat="1" x14ac:dyDescent="0.2">
      <c r="A22" s="222">
        <v>54.2</v>
      </c>
      <c r="B22" s="596" t="s">
        <v>299</v>
      </c>
      <c r="C22" s="596" t="s">
        <v>297</v>
      </c>
      <c r="D22" s="163" t="s">
        <v>297</v>
      </c>
      <c r="E22" s="606" t="s">
        <v>297</v>
      </c>
      <c r="F22" s="164">
        <v>1</v>
      </c>
      <c r="G22" s="168">
        <v>2</v>
      </c>
      <c r="H22" s="167">
        <v>22393</v>
      </c>
      <c r="I22" s="167">
        <v>41603</v>
      </c>
      <c r="J22" s="167">
        <v>42333</v>
      </c>
      <c r="K22" s="109">
        <f t="shared" si="0"/>
        <v>2</v>
      </c>
      <c r="L22" s="109">
        <f t="shared" si="1"/>
        <v>24</v>
      </c>
      <c r="M22" s="129">
        <v>52.6</v>
      </c>
      <c r="N22" s="577">
        <v>54.6</v>
      </c>
      <c r="O22" s="228">
        <v>9</v>
      </c>
      <c r="P22" s="229">
        <v>14</v>
      </c>
      <c r="Q22" s="229">
        <v>14</v>
      </c>
      <c r="R22" s="229">
        <v>23</v>
      </c>
      <c r="S22" s="229">
        <v>19</v>
      </c>
      <c r="T22" s="229">
        <v>13</v>
      </c>
      <c r="U22" s="229">
        <v>10</v>
      </c>
      <c r="V22" s="229">
        <v>10</v>
      </c>
      <c r="W22" s="229">
        <v>9</v>
      </c>
      <c r="X22" s="229">
        <v>115.72</v>
      </c>
      <c r="Y22" s="229">
        <v>119.44</v>
      </c>
      <c r="Z22" s="483">
        <v>16</v>
      </c>
      <c r="AA22" s="229">
        <v>17</v>
      </c>
      <c r="AB22" s="634">
        <f>(0*60)+25</f>
        <v>25</v>
      </c>
      <c r="AC22" s="645">
        <v>36</v>
      </c>
      <c r="AD22" s="645">
        <v>55</v>
      </c>
      <c r="AE22" s="645">
        <v>41</v>
      </c>
      <c r="AF22" s="633">
        <v>30</v>
      </c>
      <c r="AG22" s="633">
        <v>5</v>
      </c>
      <c r="AH22" s="286">
        <v>2.2000000000000002</v>
      </c>
      <c r="AI22" s="286">
        <v>1.1388888888888888</v>
      </c>
      <c r="AJ22" s="229">
        <v>6</v>
      </c>
      <c r="AK22" s="507">
        <v>5</v>
      </c>
      <c r="AL22" s="229">
        <v>54</v>
      </c>
      <c r="AM22" s="230">
        <v>58</v>
      </c>
      <c r="AN22" s="230">
        <v>352.85</v>
      </c>
      <c r="AO22" s="230">
        <v>8.84</v>
      </c>
      <c r="AP22" s="230">
        <v>19.2</v>
      </c>
      <c r="AQ22" s="243">
        <v>352.93068783068787</v>
      </c>
      <c r="AR22" s="243">
        <v>13.325407515478023</v>
      </c>
      <c r="AS22" s="243">
        <v>19.30342895127837</v>
      </c>
      <c r="AT22" s="168" t="s">
        <v>143</v>
      </c>
      <c r="AU22" s="229">
        <v>61</v>
      </c>
      <c r="AV22" s="229">
        <v>0</v>
      </c>
      <c r="AW22" s="229">
        <v>3</v>
      </c>
      <c r="AX22" s="229">
        <v>3</v>
      </c>
      <c r="AY22" s="242">
        <v>95.3125</v>
      </c>
      <c r="AZ22" s="241">
        <v>96.88</v>
      </c>
      <c r="BA22" s="241">
        <v>4.6875</v>
      </c>
      <c r="BB22" s="241">
        <v>3.13</v>
      </c>
      <c r="BC22" s="228">
        <v>74</v>
      </c>
      <c r="BD22" s="507"/>
      <c r="BE22" s="241">
        <v>0.77083333333333337</v>
      </c>
      <c r="BF22" s="243"/>
      <c r="BG22" s="169" t="s">
        <v>68</v>
      </c>
      <c r="BH22" s="242">
        <v>100</v>
      </c>
      <c r="BI22" s="241">
        <v>100</v>
      </c>
      <c r="BJ22" s="241">
        <v>431.08333333333331</v>
      </c>
      <c r="BK22" s="241">
        <v>474.66666666666669</v>
      </c>
      <c r="BL22" s="241">
        <v>100</v>
      </c>
      <c r="BM22" s="241">
        <v>100</v>
      </c>
      <c r="BN22" s="241">
        <v>381.91666666666669</v>
      </c>
      <c r="BO22" s="241">
        <v>394.66666666666669</v>
      </c>
      <c r="BP22" s="241">
        <v>100</v>
      </c>
      <c r="BQ22" s="241">
        <v>100</v>
      </c>
      <c r="BR22" s="241">
        <v>406.5</v>
      </c>
      <c r="BS22" s="241">
        <v>434.66666666666669</v>
      </c>
      <c r="BT22" s="241">
        <v>47.996376674839148</v>
      </c>
      <c r="BU22" s="243">
        <v>122.15907899010261</v>
      </c>
      <c r="BV22" s="562">
        <v>95.238095238095241</v>
      </c>
      <c r="BW22" s="562">
        <v>90.476190476190482</v>
      </c>
      <c r="BX22" s="562">
        <v>415.5</v>
      </c>
      <c r="BY22" s="562">
        <v>444.91666666666669</v>
      </c>
      <c r="BZ22" s="562">
        <v>95.238095238095241</v>
      </c>
      <c r="CA22" s="562">
        <v>92.857142857142847</v>
      </c>
      <c r="CB22" s="562">
        <v>557.3611111111112</v>
      </c>
      <c r="CC22" s="562">
        <v>528.75</v>
      </c>
      <c r="CD22" s="562">
        <v>95.238095238095241</v>
      </c>
      <c r="CE22" s="562">
        <v>91.666666666666657</v>
      </c>
      <c r="CF22" s="562">
        <v>486.4305555555556</v>
      </c>
      <c r="CG22" s="562">
        <v>486.83333333333337</v>
      </c>
      <c r="CH22" s="562">
        <v>280.60753816708217</v>
      </c>
      <c r="CI22" s="316">
        <v>96.903248003790878</v>
      </c>
      <c r="CJ22" s="248" t="s">
        <v>296</v>
      </c>
      <c r="CK22" s="248" t="s">
        <v>296</v>
      </c>
      <c r="CL22" s="324"/>
      <c r="CM22" s="248" t="s">
        <v>296</v>
      </c>
      <c r="CN22" s="248"/>
      <c r="CO22" s="248" t="s">
        <v>296</v>
      </c>
      <c r="CP22" s="324"/>
      <c r="CQ22" s="248" t="s">
        <v>296</v>
      </c>
      <c r="CR22" s="248"/>
      <c r="CS22" s="248" t="s">
        <v>296</v>
      </c>
      <c r="CT22" s="324"/>
      <c r="CU22" s="248" t="s">
        <v>296</v>
      </c>
      <c r="CV22" s="248"/>
      <c r="CW22" s="248" t="s">
        <v>296</v>
      </c>
      <c r="CX22" s="324"/>
      <c r="CY22" s="248" t="s">
        <v>296</v>
      </c>
      <c r="CZ22" s="248"/>
      <c r="DA22" s="248"/>
      <c r="DB22" s="248"/>
      <c r="DC22" s="248"/>
      <c r="DD22" s="248"/>
      <c r="DE22" s="387">
        <v>64</v>
      </c>
      <c r="DF22" s="282">
        <v>41604</v>
      </c>
      <c r="DG22" s="587">
        <v>64</v>
      </c>
      <c r="DH22" s="654"/>
      <c r="DI22" s="675">
        <v>41604</v>
      </c>
      <c r="DJ22" s="666">
        <v>10</v>
      </c>
      <c r="DK22" s="675">
        <v>42332</v>
      </c>
      <c r="DL22" s="666">
        <v>12</v>
      </c>
      <c r="DM22" s="379">
        <v>40</v>
      </c>
      <c r="DN22" s="179">
        <v>12.583333333333</v>
      </c>
      <c r="DO22" s="179">
        <v>14.58</v>
      </c>
      <c r="DP22" s="405">
        <v>318</v>
      </c>
      <c r="DQ22" s="405">
        <v>515</v>
      </c>
      <c r="DR22" s="164" t="s">
        <v>719</v>
      </c>
      <c r="DS22" s="164"/>
      <c r="DT22" s="164"/>
    </row>
    <row r="23" spans="1:124" x14ac:dyDescent="0.2">
      <c r="A23" s="216">
        <v>54.21</v>
      </c>
      <c r="B23" s="595" t="s">
        <v>305</v>
      </c>
      <c r="C23" s="595" t="s">
        <v>297</v>
      </c>
      <c r="D23" s="158" t="s">
        <v>297</v>
      </c>
      <c r="E23" s="605" t="s">
        <v>297</v>
      </c>
      <c r="F23" s="22">
        <v>1</v>
      </c>
      <c r="G23" s="5">
        <v>1</v>
      </c>
      <c r="H23" s="152">
        <v>33086</v>
      </c>
      <c r="I23" s="152">
        <v>41606</v>
      </c>
      <c r="J23" s="152">
        <v>42306</v>
      </c>
      <c r="K23" s="109">
        <f t="shared" si="0"/>
        <v>1.9178082191780821</v>
      </c>
      <c r="L23" s="109">
        <f t="shared" si="1"/>
        <v>23.013698630136986</v>
      </c>
      <c r="M23" s="101">
        <v>23.3</v>
      </c>
      <c r="N23" s="576">
        <v>25.2</v>
      </c>
      <c r="O23" s="90">
        <v>80</v>
      </c>
      <c r="P23" s="16">
        <v>5</v>
      </c>
      <c r="Q23" s="16">
        <v>17</v>
      </c>
      <c r="R23" s="16">
        <v>15</v>
      </c>
      <c r="S23" s="22">
        <v>15</v>
      </c>
      <c r="T23" s="16">
        <v>10</v>
      </c>
      <c r="U23" s="22">
        <v>10</v>
      </c>
      <c r="V23" s="16">
        <v>5</v>
      </c>
      <c r="W23" s="22">
        <v>5</v>
      </c>
      <c r="X23" s="16">
        <v>114.47999999999999</v>
      </c>
      <c r="Y23" s="16">
        <v>116.96</v>
      </c>
      <c r="Z23" s="484">
        <v>15</v>
      </c>
      <c r="AA23" s="22">
        <v>16</v>
      </c>
      <c r="AB23">
        <f>(1*60)+19</f>
        <v>79</v>
      </c>
      <c r="AC23" s="644">
        <v>59</v>
      </c>
      <c r="AD23" s="644">
        <f>(2*60)+13</f>
        <v>133</v>
      </c>
      <c r="AE23" s="644">
        <f>(2*60)+16</f>
        <v>136</v>
      </c>
      <c r="AF23" s="380">
        <v>54</v>
      </c>
      <c r="AG23" s="380">
        <v>77</v>
      </c>
      <c r="AH23" s="102">
        <v>1.6835443037974684</v>
      </c>
      <c r="AI23" s="102">
        <v>2.3050847457627119</v>
      </c>
      <c r="AJ23" s="16">
        <v>6</v>
      </c>
      <c r="AK23" s="508">
        <v>8</v>
      </c>
      <c r="AL23" s="16">
        <v>52</v>
      </c>
      <c r="AM23" s="91">
        <v>54</v>
      </c>
      <c r="AN23" s="91">
        <v>362.08</v>
      </c>
      <c r="AO23" s="91">
        <v>15.79</v>
      </c>
      <c r="AP23" s="91">
        <v>23.51</v>
      </c>
      <c r="AQ23" s="107">
        <v>377.45434823796893</v>
      </c>
      <c r="AR23" s="107">
        <v>17.654081647864214</v>
      </c>
      <c r="AS23" s="107">
        <v>10.673360398104407</v>
      </c>
      <c r="AT23" s="5" t="s">
        <v>134</v>
      </c>
      <c r="AU23" s="16">
        <v>62</v>
      </c>
      <c r="AV23" s="16">
        <v>1</v>
      </c>
      <c r="AW23" s="16">
        <v>1</v>
      </c>
      <c r="AX23" s="16">
        <v>2</v>
      </c>
      <c r="AY23" s="74">
        <v>96.88</v>
      </c>
      <c r="AZ23" s="30">
        <v>98.44</v>
      </c>
      <c r="BA23" s="30">
        <v>3.12</v>
      </c>
      <c r="BB23" s="30">
        <v>1.56</v>
      </c>
      <c r="BC23" s="90">
        <v>99</v>
      </c>
      <c r="BD23" s="508">
        <v>70</v>
      </c>
      <c r="BE23" s="30">
        <v>1.03125</v>
      </c>
      <c r="BF23" s="107">
        <v>0.72916666666666663</v>
      </c>
      <c r="BG23" s="108" t="s">
        <v>68</v>
      </c>
      <c r="BH23" s="74">
        <v>97.619047619047635</v>
      </c>
      <c r="BI23" s="30">
        <v>100</v>
      </c>
      <c r="BJ23" s="30">
        <v>401.36111111111109</v>
      </c>
      <c r="BK23" s="30">
        <v>563.5</v>
      </c>
      <c r="BL23" s="30">
        <v>97.619047619047635</v>
      </c>
      <c r="BM23" s="30">
        <v>97.619047619047635</v>
      </c>
      <c r="BN23" s="30">
        <v>434.5</v>
      </c>
      <c r="BO23" s="30">
        <v>702.91666666666663</v>
      </c>
      <c r="BP23" s="30">
        <v>97.619047619047635</v>
      </c>
      <c r="BQ23" s="30">
        <v>98.809523809523824</v>
      </c>
      <c r="BR23" s="30">
        <v>417.93055555555554</v>
      </c>
      <c r="BS23" s="30">
        <v>633.20833333333326</v>
      </c>
      <c r="BT23" s="30">
        <v>73.690947417069466</v>
      </c>
      <c r="BU23" s="107">
        <v>256.57052241248317</v>
      </c>
      <c r="BV23" s="193">
        <v>100</v>
      </c>
      <c r="BW23" s="193">
        <v>95.238095238095241</v>
      </c>
      <c r="BX23" s="193">
        <v>444.33333333333331</v>
      </c>
      <c r="BY23" s="193">
        <v>641.08333333333337</v>
      </c>
      <c r="BZ23" s="193">
        <v>100</v>
      </c>
      <c r="CA23" s="193">
        <v>97.619047619047635</v>
      </c>
      <c r="CB23" s="193">
        <v>482.33333333333331</v>
      </c>
      <c r="CC23" s="193">
        <v>554.83333333333337</v>
      </c>
      <c r="CD23" s="193">
        <v>100</v>
      </c>
      <c r="CE23" s="193">
        <v>96.428571428571445</v>
      </c>
      <c r="CF23" s="193">
        <v>463.33333333333331</v>
      </c>
      <c r="CG23" s="193">
        <v>597.95833333333337</v>
      </c>
      <c r="CH23" s="193">
        <v>99.573729146958598</v>
      </c>
      <c r="CI23" s="107">
        <v>132.07943172418999</v>
      </c>
      <c r="CJ23" s="247" t="s">
        <v>296</v>
      </c>
      <c r="CK23" s="247" t="s">
        <v>296</v>
      </c>
      <c r="CM23" s="247" t="s">
        <v>296</v>
      </c>
      <c r="CO23" s="247" t="s">
        <v>296</v>
      </c>
      <c r="CQ23" s="247" t="s">
        <v>296</v>
      </c>
      <c r="CS23" s="247" t="s">
        <v>296</v>
      </c>
      <c r="CU23" s="247" t="s">
        <v>296</v>
      </c>
      <c r="CW23" s="247" t="s">
        <v>296</v>
      </c>
      <c r="CY23" s="247" t="s">
        <v>296</v>
      </c>
      <c r="DE23" s="388">
        <v>83</v>
      </c>
      <c r="DF23" s="283">
        <v>41604</v>
      </c>
      <c r="DG23" s="586">
        <v>74.5</v>
      </c>
      <c r="DH23" s="414"/>
      <c r="DI23" s="675">
        <v>41604</v>
      </c>
      <c r="DJ23" s="666">
        <v>19</v>
      </c>
      <c r="DK23" s="675">
        <v>42304</v>
      </c>
      <c r="DL23" s="666">
        <v>17</v>
      </c>
      <c r="DM23" s="403">
        <v>14</v>
      </c>
      <c r="DN23" s="117">
        <v>9.25</v>
      </c>
      <c r="DO23" s="117">
        <v>11.25</v>
      </c>
      <c r="DP23" s="406">
        <v>471</v>
      </c>
      <c r="DQ23" s="406">
        <v>590</v>
      </c>
      <c r="DR23" s="22" t="s">
        <v>720</v>
      </c>
      <c r="DS23" s="22"/>
      <c r="DT23" s="22"/>
    </row>
    <row r="24" spans="1:124" x14ac:dyDescent="0.2">
      <c r="A24" s="216">
        <v>54.22</v>
      </c>
      <c r="B24" s="595" t="s">
        <v>306</v>
      </c>
      <c r="C24" s="595" t="s">
        <v>297</v>
      </c>
      <c r="D24" s="158" t="s">
        <v>296</v>
      </c>
      <c r="E24" s="605" t="s">
        <v>297</v>
      </c>
      <c r="F24" s="22">
        <v>1</v>
      </c>
      <c r="G24" s="5">
        <v>1</v>
      </c>
      <c r="H24" s="152">
        <v>31086</v>
      </c>
      <c r="I24" s="152">
        <v>41606</v>
      </c>
      <c r="J24" s="152">
        <v>42306</v>
      </c>
      <c r="K24" s="109">
        <f t="shared" si="0"/>
        <v>1.9178082191780821</v>
      </c>
      <c r="L24" s="109">
        <f t="shared" si="1"/>
        <v>23.013698630136986</v>
      </c>
      <c r="M24" s="101">
        <v>28.8</v>
      </c>
      <c r="N24" s="576">
        <v>30.7</v>
      </c>
      <c r="O24" s="90">
        <v>100</v>
      </c>
      <c r="P24" s="16">
        <v>2</v>
      </c>
      <c r="Q24" s="16">
        <v>6</v>
      </c>
      <c r="R24" s="16">
        <v>23</v>
      </c>
      <c r="S24" s="22">
        <v>22</v>
      </c>
      <c r="T24" s="16">
        <v>11</v>
      </c>
      <c r="U24" s="22">
        <v>14</v>
      </c>
      <c r="V24" s="16">
        <v>12</v>
      </c>
      <c r="W24" s="22">
        <v>8</v>
      </c>
      <c r="X24" s="16">
        <v>109.52</v>
      </c>
      <c r="Y24" s="16">
        <v>110.75999999999999</v>
      </c>
      <c r="Z24" s="484">
        <v>16</v>
      </c>
      <c r="AA24" s="22">
        <v>18</v>
      </c>
      <c r="AB24">
        <f>(0*60)+58</f>
        <v>58</v>
      </c>
      <c r="AC24" s="644">
        <f>(1*60)+4</f>
        <v>64</v>
      </c>
      <c r="AD24" s="644">
        <f>(1*60)+28</f>
        <v>88</v>
      </c>
      <c r="AE24" s="644">
        <f>(1*60)+40</f>
        <v>100</v>
      </c>
      <c r="AF24" s="380">
        <v>30</v>
      </c>
      <c r="AG24" s="380">
        <v>36</v>
      </c>
      <c r="AH24" s="102">
        <v>1.5172413793103448</v>
      </c>
      <c r="AI24" s="102">
        <v>1.5625</v>
      </c>
      <c r="AJ24" s="16">
        <v>6</v>
      </c>
      <c r="AK24" s="508">
        <v>6</v>
      </c>
      <c r="AL24" s="16">
        <v>64</v>
      </c>
      <c r="AM24" s="91">
        <v>66</v>
      </c>
      <c r="AN24" s="91">
        <v>337.73</v>
      </c>
      <c r="AO24" s="91">
        <v>11.96</v>
      </c>
      <c r="AP24" s="91">
        <v>15.39</v>
      </c>
      <c r="AQ24" s="107">
        <v>365.82746845746846</v>
      </c>
      <c r="AR24" s="107">
        <v>11.295726341247283</v>
      </c>
      <c r="AS24" s="107">
        <v>13.88091942782474</v>
      </c>
      <c r="AT24" s="5" t="s">
        <v>143</v>
      </c>
      <c r="AU24" s="16">
        <v>64</v>
      </c>
      <c r="AV24" s="16">
        <v>0</v>
      </c>
      <c r="AW24" s="16">
        <v>0</v>
      </c>
      <c r="AX24" s="16">
        <v>0</v>
      </c>
      <c r="AY24" s="74">
        <v>100</v>
      </c>
      <c r="AZ24" s="30">
        <v>96.88</v>
      </c>
      <c r="BA24" s="30">
        <v>0</v>
      </c>
      <c r="BB24" s="30">
        <v>3.13</v>
      </c>
      <c r="BC24" s="90">
        <v>71</v>
      </c>
      <c r="BD24" s="508">
        <v>102</v>
      </c>
      <c r="BE24" s="30">
        <v>0.73958333333333337</v>
      </c>
      <c r="BF24" s="107">
        <v>1.0625</v>
      </c>
      <c r="BG24" s="108" t="s">
        <v>67</v>
      </c>
      <c r="BH24" s="74">
        <v>100</v>
      </c>
      <c r="BI24" s="30">
        <v>100</v>
      </c>
      <c r="BJ24" s="30">
        <v>459.91666666666669</v>
      </c>
      <c r="BK24" s="30">
        <v>603.08333333333337</v>
      </c>
      <c r="BL24" s="30">
        <v>97.619047619047635</v>
      </c>
      <c r="BM24" s="30">
        <v>100</v>
      </c>
      <c r="BN24" s="30">
        <v>542.41666666666663</v>
      </c>
      <c r="BO24" s="30">
        <v>612.75</v>
      </c>
      <c r="BP24" s="30">
        <v>98.809523809523824</v>
      </c>
      <c r="BQ24" s="30">
        <v>100</v>
      </c>
      <c r="BR24" s="30">
        <v>501.16666666666663</v>
      </c>
      <c r="BS24" s="30">
        <v>607.91666666666674</v>
      </c>
      <c r="BT24" s="30">
        <v>75.597139735785447</v>
      </c>
      <c r="BU24" s="107">
        <v>101.34054369846984</v>
      </c>
      <c r="BV24" s="193">
        <v>100</v>
      </c>
      <c r="BW24" s="193">
        <v>100</v>
      </c>
      <c r="BX24" s="193">
        <v>461.16666666666669</v>
      </c>
      <c r="BY24" s="193">
        <v>558.83333333333337</v>
      </c>
      <c r="BZ24" s="193">
        <v>100</v>
      </c>
      <c r="CA24" s="193">
        <v>97.619047619047635</v>
      </c>
      <c r="CB24" s="193">
        <v>569.41666666666663</v>
      </c>
      <c r="CC24" s="193">
        <v>483.47222222222223</v>
      </c>
      <c r="CD24" s="193">
        <v>100</v>
      </c>
      <c r="CE24" s="193">
        <v>98.809523809523824</v>
      </c>
      <c r="CF24" s="193">
        <v>515.29166666666663</v>
      </c>
      <c r="CG24" s="193">
        <v>521.15277777777783</v>
      </c>
      <c r="CH24" s="193">
        <v>100.98061766956828</v>
      </c>
      <c r="CI24" s="107">
        <v>168.6118751063444</v>
      </c>
      <c r="CJ24" s="247" t="s">
        <v>296</v>
      </c>
      <c r="CK24" s="247" t="s">
        <v>296</v>
      </c>
      <c r="CM24" s="247" t="s">
        <v>296</v>
      </c>
      <c r="CO24" s="247" t="s">
        <v>296</v>
      </c>
      <c r="CQ24" s="247" t="s">
        <v>296</v>
      </c>
      <c r="CS24" s="247" t="s">
        <v>296</v>
      </c>
      <c r="CU24" s="247" t="s">
        <v>296</v>
      </c>
      <c r="CW24" s="247" t="s">
        <v>296</v>
      </c>
      <c r="CY24" s="247" t="s">
        <v>296</v>
      </c>
      <c r="DE24" s="388">
        <v>66.5</v>
      </c>
      <c r="DF24" s="283">
        <v>41604</v>
      </c>
      <c r="DG24" s="586">
        <v>71.5</v>
      </c>
      <c r="DH24" s="414"/>
      <c r="DI24" s="675">
        <v>41604</v>
      </c>
      <c r="DJ24" s="666">
        <v>15</v>
      </c>
      <c r="DK24" s="675">
        <v>42304</v>
      </c>
      <c r="DL24" s="666">
        <v>13.5</v>
      </c>
      <c r="DM24" s="403">
        <v>14</v>
      </c>
      <c r="DN24" s="117">
        <v>14.75</v>
      </c>
      <c r="DO24" s="117">
        <v>16.75</v>
      </c>
      <c r="DP24" s="406">
        <v>552</v>
      </c>
      <c r="DQ24" s="406">
        <v>552</v>
      </c>
      <c r="DR24" s="22" t="s">
        <v>721</v>
      </c>
      <c r="DS24" s="22"/>
      <c r="DT24" s="22"/>
    </row>
    <row r="25" spans="1:124" x14ac:dyDescent="0.2">
      <c r="A25" s="216">
        <v>54.23</v>
      </c>
      <c r="B25" s="595" t="s">
        <v>364</v>
      </c>
      <c r="C25" s="595" t="s">
        <v>297</v>
      </c>
      <c r="D25" s="158" t="s">
        <v>297</v>
      </c>
      <c r="E25" s="605" t="s">
        <v>297</v>
      </c>
      <c r="F25" s="22">
        <v>1</v>
      </c>
      <c r="G25" s="5">
        <v>1</v>
      </c>
      <c r="H25" s="152">
        <v>32905</v>
      </c>
      <c r="I25" s="152">
        <v>41694</v>
      </c>
      <c r="J25" s="152">
        <v>42515</v>
      </c>
      <c r="K25" s="109">
        <f t="shared" si="0"/>
        <v>2.2493150684931509</v>
      </c>
      <c r="L25" s="109">
        <f t="shared" si="1"/>
        <v>26.991780821917811</v>
      </c>
      <c r="M25" s="101">
        <v>24</v>
      </c>
      <c r="N25" s="576">
        <v>26.3</v>
      </c>
      <c r="O25" s="90">
        <v>100</v>
      </c>
      <c r="P25" s="16">
        <v>9</v>
      </c>
      <c r="Q25" s="22">
        <v>8</v>
      </c>
      <c r="R25" s="16">
        <v>17</v>
      </c>
      <c r="S25" s="22">
        <v>19</v>
      </c>
      <c r="T25" s="16">
        <v>13</v>
      </c>
      <c r="U25" s="22">
        <v>11</v>
      </c>
      <c r="V25" s="16">
        <v>4</v>
      </c>
      <c r="W25" s="22">
        <v>8</v>
      </c>
      <c r="X25" s="16">
        <v>100.84</v>
      </c>
      <c r="Y25" s="16">
        <v>103.32</v>
      </c>
      <c r="Z25" s="484">
        <v>14</v>
      </c>
      <c r="AA25" s="22">
        <v>16</v>
      </c>
      <c r="AB25">
        <f>(0*60)+27</f>
        <v>27</v>
      </c>
      <c r="AC25" s="644">
        <v>27</v>
      </c>
      <c r="AD25" s="644">
        <f>(1*60)+12</f>
        <v>72</v>
      </c>
      <c r="AE25" s="644">
        <v>50</v>
      </c>
      <c r="AF25" s="508">
        <v>45</v>
      </c>
      <c r="AG25" s="508">
        <v>23</v>
      </c>
      <c r="AH25" s="30">
        <v>2.6666666666666665</v>
      </c>
      <c r="AI25" s="30">
        <v>1.85</v>
      </c>
      <c r="AJ25" s="16">
        <v>6</v>
      </c>
      <c r="AK25" s="508">
        <v>10</v>
      </c>
      <c r="AL25" s="16">
        <v>61</v>
      </c>
      <c r="AM25" s="91">
        <v>65</v>
      </c>
      <c r="AN25" s="91">
        <v>244.75</v>
      </c>
      <c r="AO25" s="91">
        <v>19.89</v>
      </c>
      <c r="AP25" s="91">
        <v>31.64</v>
      </c>
      <c r="AQ25" s="107">
        <v>306.61125804375803</v>
      </c>
      <c r="AR25" s="107">
        <v>20.182471256871118</v>
      </c>
      <c r="AS25" s="107">
        <v>23.250757313754683</v>
      </c>
      <c r="AT25" s="5" t="s">
        <v>134</v>
      </c>
      <c r="AU25" s="22">
        <v>64</v>
      </c>
      <c r="AV25" s="22">
        <v>0</v>
      </c>
      <c r="AW25" s="22">
        <v>0</v>
      </c>
      <c r="AX25" s="22">
        <v>0</v>
      </c>
      <c r="AY25" s="74">
        <v>100</v>
      </c>
      <c r="AZ25" s="30">
        <v>100</v>
      </c>
      <c r="BA25" s="30">
        <v>0</v>
      </c>
      <c r="BB25" s="30">
        <v>0</v>
      </c>
      <c r="BC25" s="225"/>
      <c r="BD25" s="628">
        <v>59</v>
      </c>
      <c r="BE25" s="201"/>
      <c r="BF25" s="202">
        <v>0.61</v>
      </c>
      <c r="BG25" s="108" t="s">
        <v>67</v>
      </c>
      <c r="BH25" s="74">
        <v>100</v>
      </c>
      <c r="BI25" s="30">
        <v>100</v>
      </c>
      <c r="BJ25" s="30">
        <v>435.83333333333331</v>
      </c>
      <c r="BK25" s="30">
        <v>484.66666666666669</v>
      </c>
      <c r="BL25" s="30">
        <v>100</v>
      </c>
      <c r="BM25" s="30">
        <v>100</v>
      </c>
      <c r="BN25" s="30">
        <v>393.58333333333331</v>
      </c>
      <c r="BO25" s="30">
        <v>428.75</v>
      </c>
      <c r="BP25" s="30">
        <v>100</v>
      </c>
      <c r="BQ25" s="30">
        <v>100</v>
      </c>
      <c r="BR25" s="30">
        <v>414.70833333333331</v>
      </c>
      <c r="BS25" s="30">
        <v>456.70833333333337</v>
      </c>
      <c r="BT25" s="30">
        <v>50.275310879774558</v>
      </c>
      <c r="BU25" s="107">
        <v>88.675019357037641</v>
      </c>
      <c r="BV25" s="193">
        <v>100</v>
      </c>
      <c r="BW25" s="193">
        <v>97.619047619047635</v>
      </c>
      <c r="BX25" s="193">
        <v>425</v>
      </c>
      <c r="BY25" s="193">
        <v>423.0555555555556</v>
      </c>
      <c r="BZ25" s="193">
        <v>100</v>
      </c>
      <c r="CA25" s="193">
        <v>100</v>
      </c>
      <c r="CB25" s="193">
        <v>457.16666666666669</v>
      </c>
      <c r="CC25" s="193">
        <v>453.25</v>
      </c>
      <c r="CD25" s="193">
        <v>100</v>
      </c>
      <c r="CE25" s="193">
        <v>98.809523809523824</v>
      </c>
      <c r="CF25" s="193">
        <v>441.08333333333337</v>
      </c>
      <c r="CG25" s="193">
        <v>438.15277777777783</v>
      </c>
      <c r="CH25" s="193">
        <v>65.85419775776505</v>
      </c>
      <c r="CI25" s="107">
        <v>118.0005024441638</v>
      </c>
      <c r="CJ25" s="247" t="s">
        <v>296</v>
      </c>
      <c r="CK25" s="247" t="s">
        <v>296</v>
      </c>
      <c r="CM25" s="311" t="s">
        <v>297</v>
      </c>
      <c r="CN25" s="311">
        <v>1</v>
      </c>
      <c r="CO25" s="247" t="s">
        <v>296</v>
      </c>
      <c r="CQ25" s="247" t="s">
        <v>296</v>
      </c>
      <c r="CS25" s="247" t="s">
        <v>296</v>
      </c>
      <c r="CU25" s="311" t="s">
        <v>297</v>
      </c>
      <c r="CV25" s="311" t="s">
        <v>573</v>
      </c>
      <c r="CW25" s="247" t="s">
        <v>296</v>
      </c>
      <c r="CY25" s="311" t="s">
        <v>297</v>
      </c>
      <c r="CZ25" s="311" t="s">
        <v>586</v>
      </c>
      <c r="DA25" s="310" t="s">
        <v>296</v>
      </c>
      <c r="DE25" s="388">
        <v>24</v>
      </c>
      <c r="DF25" s="283">
        <v>41695</v>
      </c>
      <c r="DG25" s="586">
        <v>31</v>
      </c>
      <c r="DH25" s="414">
        <v>42515</v>
      </c>
      <c r="DI25" s="675">
        <v>41695</v>
      </c>
      <c r="DJ25" s="666">
        <v>4</v>
      </c>
      <c r="DK25" s="675">
        <v>42514</v>
      </c>
      <c r="DL25" s="666">
        <v>5.5</v>
      </c>
      <c r="DM25" s="403">
        <v>19</v>
      </c>
      <c r="DN25" s="117">
        <v>5</v>
      </c>
      <c r="DO25" s="117">
        <v>7.25</v>
      </c>
      <c r="DP25" s="406">
        <v>215</v>
      </c>
      <c r="DQ25" s="406">
        <v>215</v>
      </c>
      <c r="DR25" s="197" t="s">
        <v>809</v>
      </c>
      <c r="DS25" s="22"/>
      <c r="DT25" s="22"/>
    </row>
    <row r="26" spans="1:124" s="197" customFormat="1" x14ac:dyDescent="0.2">
      <c r="A26" s="342">
        <v>54.24</v>
      </c>
      <c r="B26" s="598" t="s">
        <v>373</v>
      </c>
      <c r="C26" s="598" t="s">
        <v>297</v>
      </c>
      <c r="D26" s="343" t="s">
        <v>297</v>
      </c>
      <c r="E26" s="608" t="s">
        <v>297</v>
      </c>
      <c r="F26" s="22">
        <v>1</v>
      </c>
      <c r="G26" s="153">
        <v>1</v>
      </c>
      <c r="H26" s="227">
        <v>18932</v>
      </c>
      <c r="I26" s="227">
        <v>41705</v>
      </c>
      <c r="J26" s="227">
        <v>42440</v>
      </c>
      <c r="K26" s="109">
        <f>(J26-I26)/365</f>
        <v>2.0136986301369864</v>
      </c>
      <c r="L26" s="109">
        <f>K26*12</f>
        <v>24.164383561643838</v>
      </c>
      <c r="M26" s="101">
        <v>62.3</v>
      </c>
      <c r="N26" s="576">
        <v>64.3</v>
      </c>
      <c r="O26" s="100">
        <v>100</v>
      </c>
      <c r="P26" s="101">
        <v>11</v>
      </c>
      <c r="Q26" s="101">
        <v>10</v>
      </c>
      <c r="R26" s="101">
        <v>19</v>
      </c>
      <c r="S26" s="101">
        <v>17</v>
      </c>
      <c r="T26" s="101">
        <v>11</v>
      </c>
      <c r="U26" s="101">
        <v>11</v>
      </c>
      <c r="V26" s="101">
        <v>8</v>
      </c>
      <c r="W26" s="101">
        <v>6</v>
      </c>
      <c r="X26" s="101">
        <v>104.56</v>
      </c>
      <c r="Y26" s="101">
        <v>102.08</v>
      </c>
      <c r="Z26" s="482">
        <v>16</v>
      </c>
      <c r="AA26" s="101">
        <v>16</v>
      </c>
      <c r="AB26">
        <f>(1*60)+48</f>
        <v>108</v>
      </c>
      <c r="AC26" s="644">
        <f>(1*60)+12</f>
        <v>72</v>
      </c>
      <c r="AD26" s="644">
        <f>(2*60)+54</f>
        <v>174</v>
      </c>
      <c r="AE26" s="644">
        <f>(2*60)+8</f>
        <v>128</v>
      </c>
      <c r="AF26" s="505">
        <v>66</v>
      </c>
      <c r="AG26" s="505">
        <v>56</v>
      </c>
      <c r="AH26" s="109">
        <v>1.6111111111111112</v>
      </c>
      <c r="AI26" s="109">
        <v>1.7777777777777777</v>
      </c>
      <c r="AJ26" s="101">
        <v>7</v>
      </c>
      <c r="AK26" s="505">
        <v>6</v>
      </c>
      <c r="AL26" s="101">
        <v>58</v>
      </c>
      <c r="AM26" s="106">
        <v>49</v>
      </c>
      <c r="AN26" s="106">
        <v>624.09</v>
      </c>
      <c r="AO26" s="106">
        <v>5.65</v>
      </c>
      <c r="AP26" s="106">
        <v>6.98</v>
      </c>
      <c r="AQ26" s="103">
        <v>639.18088235294113</v>
      </c>
      <c r="AR26" s="103">
        <v>9.3090550225117372</v>
      </c>
      <c r="AS26" s="103">
        <v>8.3584621172164066</v>
      </c>
      <c r="AT26" s="153" t="s">
        <v>143</v>
      </c>
      <c r="AU26" s="22">
        <v>62</v>
      </c>
      <c r="AV26" s="22">
        <v>1</v>
      </c>
      <c r="AW26" s="22">
        <v>1</v>
      </c>
      <c r="AX26" s="22">
        <v>2</v>
      </c>
      <c r="AY26" s="346">
        <v>96.875</v>
      </c>
      <c r="AZ26" s="191">
        <v>89.0625</v>
      </c>
      <c r="BA26" s="191">
        <v>3.125</v>
      </c>
      <c r="BB26" s="191">
        <v>10.9375</v>
      </c>
      <c r="BC26" s="151">
        <v>59</v>
      </c>
      <c r="BD26" s="509">
        <v>95</v>
      </c>
      <c r="BE26" s="191">
        <v>0.61458333333333337</v>
      </c>
      <c r="BF26" s="344">
        <v>0.98958333333333337</v>
      </c>
      <c r="BG26" s="345" t="s">
        <v>68</v>
      </c>
      <c r="BH26" s="346">
        <v>88.095238095238088</v>
      </c>
      <c r="BI26" s="191">
        <v>78.571428571428569</v>
      </c>
      <c r="BJ26" s="191">
        <v>487.69444444444451</v>
      </c>
      <c r="BK26" s="191">
        <v>734.77777777777783</v>
      </c>
      <c r="BL26" s="191">
        <v>100</v>
      </c>
      <c r="BM26" s="191">
        <v>83.333333333333329</v>
      </c>
      <c r="BN26" s="191">
        <v>610.66666666666663</v>
      </c>
      <c r="BO26" s="191">
        <v>730.83333333333337</v>
      </c>
      <c r="BP26" s="191">
        <v>94.047619047619037</v>
      </c>
      <c r="BQ26" s="191">
        <v>80.952380952380949</v>
      </c>
      <c r="BR26" s="191">
        <v>549.18055555555554</v>
      </c>
      <c r="BS26" s="191">
        <v>732.80555555555566</v>
      </c>
      <c r="BT26" s="191">
        <v>139.85338643368519</v>
      </c>
      <c r="BU26" s="344">
        <v>170.46425578402059</v>
      </c>
      <c r="BV26" s="563">
        <v>100</v>
      </c>
      <c r="BW26" s="563">
        <v>83.333333333333329</v>
      </c>
      <c r="BX26" s="563">
        <v>569.33333333333337</v>
      </c>
      <c r="BY26" s="563">
        <v>393.11111111111109</v>
      </c>
      <c r="BZ26" s="563">
        <v>90.476190476190482</v>
      </c>
      <c r="CA26" s="563">
        <v>92.857142857142847</v>
      </c>
      <c r="CB26" s="563">
        <v>360.83333333333331</v>
      </c>
      <c r="CC26" s="563">
        <v>696.02777777777783</v>
      </c>
      <c r="CD26" s="563">
        <v>95.238095238095241</v>
      </c>
      <c r="CE26" s="563">
        <v>88.095238095238088</v>
      </c>
      <c r="CF26" s="563">
        <v>465.08333333333337</v>
      </c>
      <c r="CG26" s="563">
        <v>544.56944444444446</v>
      </c>
      <c r="CH26" s="563">
        <v>198.9638687114612</v>
      </c>
      <c r="CI26" s="344">
        <v>172.39153073536141</v>
      </c>
      <c r="CJ26" s="314" t="s">
        <v>298</v>
      </c>
      <c r="CK26" s="251" t="s">
        <v>296</v>
      </c>
      <c r="CL26" s="326"/>
      <c r="CM26" s="314" t="s">
        <v>297</v>
      </c>
      <c r="CN26" s="314" t="s">
        <v>441</v>
      </c>
      <c r="CO26" s="251" t="s">
        <v>296</v>
      </c>
      <c r="CP26" s="326"/>
      <c r="CQ26" s="314" t="s">
        <v>297</v>
      </c>
      <c r="CR26" s="314" t="s">
        <v>432</v>
      </c>
      <c r="CS26" s="314" t="s">
        <v>297</v>
      </c>
      <c r="CT26" s="325" t="s">
        <v>431</v>
      </c>
      <c r="CU26" s="314" t="s">
        <v>297</v>
      </c>
      <c r="CV26" s="314" t="s">
        <v>574</v>
      </c>
      <c r="CW26" s="314" t="s">
        <v>297</v>
      </c>
      <c r="CX26" s="325" t="s">
        <v>429</v>
      </c>
      <c r="CY26" s="314" t="s">
        <v>297</v>
      </c>
      <c r="CZ26" s="314" t="s">
        <v>432</v>
      </c>
      <c r="DA26" s="251"/>
      <c r="DB26" s="251"/>
      <c r="DC26" s="251"/>
      <c r="DD26" s="251"/>
      <c r="DE26" s="390">
        <v>107</v>
      </c>
      <c r="DF26" s="352">
        <v>41704</v>
      </c>
      <c r="DG26" s="586">
        <v>107</v>
      </c>
      <c r="DH26" s="414">
        <v>42440</v>
      </c>
      <c r="DI26" s="675">
        <v>41704</v>
      </c>
      <c r="DJ26" s="672">
        <v>27.5</v>
      </c>
      <c r="DK26" s="675">
        <v>42439</v>
      </c>
      <c r="DL26" s="668" t="s">
        <v>836</v>
      </c>
      <c r="DM26" s="382">
        <v>17</v>
      </c>
      <c r="DN26" s="378">
        <v>45.416670000000003</v>
      </c>
      <c r="DO26" s="378">
        <v>47.42</v>
      </c>
      <c r="DP26" s="382">
        <v>359</v>
      </c>
      <c r="DQ26" s="382">
        <v>1145</v>
      </c>
      <c r="DR26" s="231" t="s">
        <v>810</v>
      </c>
      <c r="DS26" s="231"/>
      <c r="DT26" s="231"/>
    </row>
    <row r="27" spans="1:124" x14ac:dyDescent="0.2">
      <c r="A27" s="216">
        <v>54.25</v>
      </c>
      <c r="B27" s="595" t="s">
        <v>376</v>
      </c>
      <c r="C27" s="595" t="s">
        <v>297</v>
      </c>
      <c r="D27" s="158" t="s">
        <v>297</v>
      </c>
      <c r="E27" s="605" t="s">
        <v>297</v>
      </c>
      <c r="F27" s="22">
        <v>1</v>
      </c>
      <c r="G27" s="5">
        <v>1</v>
      </c>
      <c r="H27" s="152">
        <v>27811</v>
      </c>
      <c r="I27" s="152">
        <v>41712</v>
      </c>
      <c r="J27" s="152">
        <v>42426</v>
      </c>
      <c r="K27" s="109">
        <f t="shared" si="0"/>
        <v>1.9561643835616438</v>
      </c>
      <c r="L27" s="109">
        <f t="shared" si="1"/>
        <v>23.473972602739725</v>
      </c>
      <c r="M27" s="101">
        <v>38.1</v>
      </c>
      <c r="N27" s="576">
        <v>40</v>
      </c>
      <c r="O27" s="90">
        <v>100</v>
      </c>
      <c r="P27" s="16">
        <v>17</v>
      </c>
      <c r="Q27" s="22">
        <v>6</v>
      </c>
      <c r="R27" s="16">
        <v>14</v>
      </c>
      <c r="S27" s="22">
        <v>14</v>
      </c>
      <c r="T27" s="16">
        <v>9</v>
      </c>
      <c r="U27" s="22">
        <v>8</v>
      </c>
      <c r="V27" s="16">
        <v>5</v>
      </c>
      <c r="W27" s="22">
        <v>6</v>
      </c>
      <c r="X27" s="16">
        <v>113.24</v>
      </c>
      <c r="Y27" s="16">
        <v>114.47999999999999</v>
      </c>
      <c r="Z27" s="484">
        <v>13</v>
      </c>
      <c r="AA27" s="22">
        <v>13</v>
      </c>
      <c r="AB27">
        <f>(0*60)+42</f>
        <v>42</v>
      </c>
      <c r="AC27" s="644">
        <v>38</v>
      </c>
      <c r="AD27" s="644">
        <f>(1*60)+25</f>
        <v>85</v>
      </c>
      <c r="AE27" s="644">
        <f>(1*60)+45</f>
        <v>105</v>
      </c>
      <c r="AF27" s="508">
        <v>43</v>
      </c>
      <c r="AG27" s="508">
        <v>67</v>
      </c>
      <c r="AH27" s="30">
        <v>2.0238095238095237</v>
      </c>
      <c r="AI27" s="30">
        <v>2.763157894736842</v>
      </c>
      <c r="AJ27" s="16">
        <v>6</v>
      </c>
      <c r="AK27" s="508">
        <v>4</v>
      </c>
      <c r="AL27" s="16">
        <v>54</v>
      </c>
      <c r="AM27" s="91">
        <v>55</v>
      </c>
      <c r="AN27" s="91">
        <v>325.45999999999998</v>
      </c>
      <c r="AO27" s="91">
        <v>16.440000000000001</v>
      </c>
      <c r="AP27" s="91">
        <v>19.36</v>
      </c>
      <c r="AQ27" s="107">
        <v>348.71236056408463</v>
      </c>
      <c r="AR27" s="107">
        <v>14.91639251820097</v>
      </c>
      <c r="AS27" s="107">
        <v>26.265439765710077</v>
      </c>
      <c r="AT27" s="5" t="s">
        <v>134</v>
      </c>
      <c r="AU27" s="22">
        <v>64</v>
      </c>
      <c r="AV27" s="22">
        <v>0</v>
      </c>
      <c r="AW27" s="22">
        <v>0</v>
      </c>
      <c r="AX27" s="22">
        <v>0</v>
      </c>
      <c r="AY27" s="74">
        <v>100</v>
      </c>
      <c r="AZ27" s="30">
        <v>93.75</v>
      </c>
      <c r="BA27" s="30">
        <v>0</v>
      </c>
      <c r="BB27" s="30">
        <v>6.666666666666667</v>
      </c>
      <c r="BC27" s="90">
        <v>72</v>
      </c>
      <c r="BD27" s="508">
        <v>48</v>
      </c>
      <c r="BE27" s="30">
        <v>0.75</v>
      </c>
      <c r="BF27" s="107">
        <v>0.5</v>
      </c>
      <c r="BG27" s="108" t="s">
        <v>68</v>
      </c>
      <c r="BH27" s="74">
        <v>100</v>
      </c>
      <c r="BI27" s="30">
        <v>100</v>
      </c>
      <c r="BJ27" s="30">
        <v>459.5</v>
      </c>
      <c r="BK27" s="30">
        <v>677.66666666666663</v>
      </c>
      <c r="BL27" s="30">
        <v>100</v>
      </c>
      <c r="BM27" s="30">
        <v>97.619047619047635</v>
      </c>
      <c r="BN27" s="30">
        <v>508.16666666666669</v>
      </c>
      <c r="BO27" s="30">
        <v>608.3611111111112</v>
      </c>
      <c r="BP27" s="30">
        <v>100</v>
      </c>
      <c r="BQ27" s="30">
        <v>98.809523809523824</v>
      </c>
      <c r="BR27" s="30">
        <v>483.83333333333337</v>
      </c>
      <c r="BS27" s="30">
        <v>643.01388888888891</v>
      </c>
      <c r="BT27" s="30">
        <v>84.818817983145451</v>
      </c>
      <c r="BU27" s="107">
        <v>204.4093196517085</v>
      </c>
      <c r="BV27" s="193">
        <v>100</v>
      </c>
      <c r="BW27" s="193">
        <v>88.095238095238116</v>
      </c>
      <c r="BX27" s="193">
        <v>449.75</v>
      </c>
      <c r="BY27" s="193">
        <v>613.08333333333337</v>
      </c>
      <c r="BZ27" s="193">
        <v>100</v>
      </c>
      <c r="CA27" s="193">
        <v>95.238095238095241</v>
      </c>
      <c r="CB27" s="193">
        <v>487.5</v>
      </c>
      <c r="CC27" s="193">
        <v>740.11111111111097</v>
      </c>
      <c r="CD27" s="193">
        <v>100</v>
      </c>
      <c r="CE27" s="193">
        <v>91.666666666666686</v>
      </c>
      <c r="CF27" s="193">
        <v>468.625</v>
      </c>
      <c r="CG27" s="193">
        <v>676.59722222222217</v>
      </c>
      <c r="CH27" s="193">
        <v>88.257928575974063</v>
      </c>
      <c r="CI27" s="107">
        <v>270.95624471435895</v>
      </c>
      <c r="CJ27" s="311" t="s">
        <v>297</v>
      </c>
      <c r="CK27" s="247" t="s">
        <v>296</v>
      </c>
      <c r="CM27" s="311" t="s">
        <v>297</v>
      </c>
      <c r="CN27" s="311" t="s">
        <v>433</v>
      </c>
      <c r="CO27" s="311" t="s">
        <v>297</v>
      </c>
      <c r="CP27" s="320" t="s">
        <v>428</v>
      </c>
      <c r="CQ27" s="311" t="s">
        <v>297</v>
      </c>
      <c r="CR27" s="311" t="s">
        <v>435</v>
      </c>
      <c r="CS27" s="311" t="s">
        <v>297</v>
      </c>
      <c r="CT27" s="320" t="s">
        <v>430</v>
      </c>
      <c r="CU27" s="311" t="s">
        <v>297</v>
      </c>
      <c r="CV27" s="311" t="s">
        <v>575</v>
      </c>
      <c r="CW27" s="247" t="s">
        <v>296</v>
      </c>
      <c r="CY27" s="311" t="s">
        <v>297</v>
      </c>
      <c r="CZ27" s="311" t="s">
        <v>432</v>
      </c>
      <c r="DE27" s="390">
        <v>42</v>
      </c>
      <c r="DF27" s="352">
        <v>41711</v>
      </c>
      <c r="DG27" s="586">
        <v>61</v>
      </c>
      <c r="DH27" s="414">
        <v>42612</v>
      </c>
      <c r="DI27" s="675">
        <v>41711</v>
      </c>
      <c r="DJ27" s="666">
        <v>7</v>
      </c>
      <c r="DK27" s="675">
        <v>42612</v>
      </c>
      <c r="DL27" s="666">
        <v>12.5</v>
      </c>
      <c r="DM27" s="382">
        <v>29</v>
      </c>
      <c r="DN27" s="378">
        <v>9.0833333333333002</v>
      </c>
      <c r="DO27" s="378">
        <v>11.5</v>
      </c>
      <c r="DP27" s="382">
        <v>215</v>
      </c>
      <c r="DQ27" s="382">
        <v>237</v>
      </c>
      <c r="DR27" s="231" t="s">
        <v>811</v>
      </c>
      <c r="DS27" s="231"/>
      <c r="DT27" s="231"/>
    </row>
    <row r="28" spans="1:124" s="170" customFormat="1" x14ac:dyDescent="0.2">
      <c r="A28" s="222">
        <v>54.26</v>
      </c>
      <c r="B28" s="596" t="s">
        <v>404</v>
      </c>
      <c r="C28" s="596" t="s">
        <v>297</v>
      </c>
      <c r="D28" s="163" t="s">
        <v>297</v>
      </c>
      <c r="E28" s="606" t="s">
        <v>297</v>
      </c>
      <c r="F28" s="164">
        <v>1</v>
      </c>
      <c r="G28" s="168">
        <v>2</v>
      </c>
      <c r="H28" s="167">
        <v>29765</v>
      </c>
      <c r="I28" s="167">
        <v>41722</v>
      </c>
      <c r="J28" s="167"/>
      <c r="K28" s="109"/>
      <c r="L28" s="109"/>
      <c r="M28" s="129">
        <v>32.799999999999997</v>
      </c>
      <c r="N28" s="577"/>
      <c r="O28" s="228">
        <v>78</v>
      </c>
      <c r="P28" s="229">
        <v>29</v>
      </c>
      <c r="Q28" s="229"/>
      <c r="R28" s="229">
        <v>17</v>
      </c>
      <c r="S28" s="229"/>
      <c r="T28" s="229">
        <v>8</v>
      </c>
      <c r="U28" s="229"/>
      <c r="V28" s="229">
        <v>9</v>
      </c>
      <c r="W28" s="229"/>
      <c r="X28" s="229">
        <v>100.84</v>
      </c>
      <c r="Y28" s="229"/>
      <c r="Z28" s="483">
        <v>15</v>
      </c>
      <c r="AA28" s="229"/>
      <c r="AB28" s="634">
        <f>(1*60)+42</f>
        <v>102</v>
      </c>
      <c r="AC28" s="645"/>
      <c r="AD28" s="645">
        <f>(2*60)+11</f>
        <v>131</v>
      </c>
      <c r="AE28" s="645"/>
      <c r="AF28" s="507">
        <v>29</v>
      </c>
      <c r="AG28" s="507"/>
      <c r="AH28" s="241">
        <v>1.2843137254901962</v>
      </c>
      <c r="AI28" s="241"/>
      <c r="AJ28" s="229">
        <v>5</v>
      </c>
      <c r="AK28" s="507"/>
      <c r="AL28" s="229">
        <v>54</v>
      </c>
      <c r="AM28" s="230"/>
      <c r="AN28" s="230">
        <v>498.01</v>
      </c>
      <c r="AO28" s="230">
        <v>11.99</v>
      </c>
      <c r="AP28" s="230">
        <v>8.0399999999999991</v>
      </c>
      <c r="AQ28" s="243"/>
      <c r="AR28" s="243"/>
      <c r="AS28" s="243"/>
      <c r="AT28" s="168" t="s">
        <v>143</v>
      </c>
      <c r="AU28" s="164">
        <v>64</v>
      </c>
      <c r="AV28" s="164">
        <v>0</v>
      </c>
      <c r="AW28" s="164">
        <v>0</v>
      </c>
      <c r="AX28" s="164">
        <v>0</v>
      </c>
      <c r="AY28" s="317">
        <v>100</v>
      </c>
      <c r="AZ28" s="315"/>
      <c r="BA28" s="315">
        <v>0</v>
      </c>
      <c r="BB28" s="315"/>
      <c r="BC28" s="165">
        <v>101</v>
      </c>
      <c r="BD28" s="629"/>
      <c r="BE28" s="315">
        <v>1.0520833333333333</v>
      </c>
      <c r="BF28" s="316"/>
      <c r="BG28" s="169" t="s">
        <v>67</v>
      </c>
      <c r="BH28" s="317">
        <v>69.047619047619037</v>
      </c>
      <c r="BI28" s="315">
        <v>88.095238095238088</v>
      </c>
      <c r="BJ28" s="315">
        <v>751.5</v>
      </c>
      <c r="BK28" s="315">
        <v>1210.25</v>
      </c>
      <c r="BL28" s="315">
        <v>92.857142857142847</v>
      </c>
      <c r="BM28" s="315">
        <v>100</v>
      </c>
      <c r="BN28" s="315">
        <v>755.75</v>
      </c>
      <c r="BO28" s="315">
        <v>694.75</v>
      </c>
      <c r="BP28" s="315">
        <v>80.952380952380935</v>
      </c>
      <c r="BQ28" s="315">
        <v>94.047619047619037</v>
      </c>
      <c r="BR28" s="315">
        <v>753.625</v>
      </c>
      <c r="BS28" s="315">
        <v>952.5</v>
      </c>
      <c r="BT28" s="315">
        <v>153.30190059902307</v>
      </c>
      <c r="BU28" s="316">
        <v>302.56830459809959</v>
      </c>
      <c r="BV28" s="562"/>
      <c r="BW28" s="562"/>
      <c r="BX28" s="562"/>
      <c r="BY28" s="562"/>
      <c r="BZ28" s="562"/>
      <c r="CA28" s="562"/>
      <c r="CB28" s="562"/>
      <c r="CC28" s="562"/>
      <c r="CD28" s="562"/>
      <c r="CE28" s="562"/>
      <c r="CF28" s="562"/>
      <c r="CG28" s="562"/>
      <c r="CH28" s="562"/>
      <c r="CI28" s="316"/>
      <c r="CJ28" s="248" t="s">
        <v>296</v>
      </c>
      <c r="CK28" s="313" t="s">
        <v>297</v>
      </c>
      <c r="CL28" s="338" t="s">
        <v>427</v>
      </c>
      <c r="CM28" s="313" t="s">
        <v>297</v>
      </c>
      <c r="CN28" s="313" t="s">
        <v>434</v>
      </c>
      <c r="CO28" s="313" t="s">
        <v>297</v>
      </c>
      <c r="CP28" s="338" t="s">
        <v>429</v>
      </c>
      <c r="CQ28" s="313" t="s">
        <v>297</v>
      </c>
      <c r="CR28" s="313" t="s">
        <v>436</v>
      </c>
      <c r="CS28" s="313" t="s">
        <v>297</v>
      </c>
      <c r="CT28" s="338" t="s">
        <v>405</v>
      </c>
      <c r="CU28" s="313" t="s">
        <v>297</v>
      </c>
      <c r="CV28" s="313" t="s">
        <v>576</v>
      </c>
      <c r="CW28" s="248" t="s">
        <v>296</v>
      </c>
      <c r="CX28" s="324"/>
      <c r="CY28" s="248" t="s">
        <v>296</v>
      </c>
      <c r="CZ28" s="248"/>
      <c r="DA28" s="248"/>
      <c r="DB28" s="248"/>
      <c r="DC28" s="248"/>
      <c r="DD28" s="248"/>
      <c r="DE28" s="389">
        <v>97</v>
      </c>
      <c r="DF28" s="351">
        <v>41723</v>
      </c>
      <c r="DG28" s="587"/>
      <c r="DH28" s="654"/>
      <c r="DI28" s="675">
        <v>41723</v>
      </c>
      <c r="DJ28" s="666">
        <v>28</v>
      </c>
      <c r="DK28" s="667"/>
      <c r="DL28" s="671"/>
      <c r="DM28" s="407">
        <v>14</v>
      </c>
      <c r="DN28" s="408">
        <v>18.75</v>
      </c>
      <c r="DO28" s="408"/>
      <c r="DP28" s="407">
        <v>833</v>
      </c>
      <c r="DQ28" s="407">
        <v>835</v>
      </c>
      <c r="DR28" s="318"/>
      <c r="DS28" s="318"/>
      <c r="DT28" s="318"/>
    </row>
    <row r="29" spans="1:124" x14ac:dyDescent="0.2">
      <c r="A29" s="216">
        <v>54.27</v>
      </c>
      <c r="B29" s="595" t="s">
        <v>450</v>
      </c>
      <c r="C29" s="595" t="s">
        <v>297</v>
      </c>
      <c r="D29" s="158" t="s">
        <v>297</v>
      </c>
      <c r="E29" s="605" t="s">
        <v>297</v>
      </c>
      <c r="F29" s="22">
        <v>1</v>
      </c>
      <c r="G29" s="5">
        <v>2</v>
      </c>
      <c r="H29" s="152">
        <v>18620</v>
      </c>
      <c r="I29" s="152">
        <v>41753</v>
      </c>
      <c r="J29" s="152">
        <v>42487</v>
      </c>
      <c r="K29" s="109">
        <f t="shared" si="0"/>
        <v>2.010958904109589</v>
      </c>
      <c r="L29" s="109">
        <f t="shared" si="1"/>
        <v>24.131506849315066</v>
      </c>
      <c r="M29" s="101">
        <v>63.3</v>
      </c>
      <c r="N29" s="576">
        <v>65.3</v>
      </c>
      <c r="O29" s="90">
        <v>100</v>
      </c>
      <c r="P29" s="16">
        <v>6</v>
      </c>
      <c r="Q29" s="22">
        <v>4</v>
      </c>
      <c r="R29" s="16">
        <v>16</v>
      </c>
      <c r="S29" s="22">
        <v>17</v>
      </c>
      <c r="T29" s="16">
        <v>10</v>
      </c>
      <c r="U29" s="22">
        <v>11</v>
      </c>
      <c r="V29" s="16">
        <v>6</v>
      </c>
      <c r="W29" s="22">
        <v>6</v>
      </c>
      <c r="X29" s="16">
        <v>110.75999999999999</v>
      </c>
      <c r="Y29" s="16">
        <v>109.52</v>
      </c>
      <c r="Z29" s="484">
        <v>11</v>
      </c>
      <c r="AA29" s="22">
        <v>12</v>
      </c>
      <c r="AB29">
        <f>(2*60)+14</f>
        <v>134</v>
      </c>
      <c r="AC29" s="644">
        <f>(1*60)+50</f>
        <v>110</v>
      </c>
      <c r="AD29" s="644">
        <f>(2*60)+49</f>
        <v>169</v>
      </c>
      <c r="AE29" s="644">
        <f>(2*60)+50</f>
        <v>170</v>
      </c>
      <c r="AF29" s="508">
        <v>35</v>
      </c>
      <c r="AG29" s="508">
        <v>60</v>
      </c>
      <c r="AH29" s="30">
        <v>1.2611940298507462</v>
      </c>
      <c r="AI29" s="30">
        <v>1.5454545454545454</v>
      </c>
      <c r="AJ29" s="16">
        <v>3</v>
      </c>
      <c r="AK29" s="508">
        <v>5</v>
      </c>
      <c r="AL29" s="16">
        <v>47</v>
      </c>
      <c r="AM29" s="91">
        <v>49</v>
      </c>
      <c r="AN29" s="91">
        <v>1082.5899999999999</v>
      </c>
      <c r="AO29" s="91">
        <v>1.37</v>
      </c>
      <c r="AP29" s="91">
        <v>1.01</v>
      </c>
      <c r="AQ29" s="107">
        <v>1390.9329365079366</v>
      </c>
      <c r="AR29" s="107">
        <v>4.1069297989375029</v>
      </c>
      <c r="AS29" s="107">
        <v>1.6990541200294451</v>
      </c>
      <c r="AT29" s="5" t="s">
        <v>134</v>
      </c>
      <c r="AU29" s="188">
        <v>62</v>
      </c>
      <c r="AV29" s="188">
        <v>1</v>
      </c>
      <c r="AW29" s="188">
        <v>1</v>
      </c>
      <c r="AX29" s="188">
        <v>2</v>
      </c>
      <c r="AY29" s="348">
        <v>96.875</v>
      </c>
      <c r="AZ29" s="349">
        <v>100</v>
      </c>
      <c r="BA29" s="349">
        <v>3.125</v>
      </c>
      <c r="BB29" s="349">
        <v>0</v>
      </c>
      <c r="BC29" s="90">
        <v>90</v>
      </c>
      <c r="BD29" s="508">
        <v>80</v>
      </c>
      <c r="BE29" s="30">
        <v>0.9375</v>
      </c>
      <c r="BF29" s="107">
        <v>0.83</v>
      </c>
      <c r="BG29" s="108" t="s">
        <v>67</v>
      </c>
      <c r="BH29" s="348">
        <v>88.095238095238088</v>
      </c>
      <c r="BI29" s="349">
        <v>83.333333333333329</v>
      </c>
      <c r="BJ29" s="349">
        <v>718.08333333333337</v>
      </c>
      <c r="BK29" s="349">
        <v>746.25</v>
      </c>
      <c r="BL29" s="349">
        <v>100</v>
      </c>
      <c r="BM29" s="349">
        <v>90.476190476190482</v>
      </c>
      <c r="BN29" s="349">
        <v>660.08333333333337</v>
      </c>
      <c r="BO29" s="349">
        <v>926.80555555555554</v>
      </c>
      <c r="BP29" s="349">
        <v>94.047619047619037</v>
      </c>
      <c r="BQ29" s="349">
        <v>84.523809523809518</v>
      </c>
      <c r="BR29" s="349">
        <v>689.08333333333337</v>
      </c>
      <c r="BS29" s="349">
        <v>836.52777777777783</v>
      </c>
      <c r="BT29" s="349">
        <v>96.035403374478179</v>
      </c>
      <c r="BU29" s="350">
        <v>218.23722252200147</v>
      </c>
      <c r="BV29" s="193">
        <v>71.428571428571431</v>
      </c>
      <c r="BW29" s="193">
        <v>76.19047619047619</v>
      </c>
      <c r="BX29" s="193">
        <v>0</v>
      </c>
      <c r="BY29" s="193">
        <v>431.33333333333331</v>
      </c>
      <c r="BZ29" s="193">
        <v>90.476190476190482</v>
      </c>
      <c r="CA29" s="193">
        <v>83.333333333333329</v>
      </c>
      <c r="CB29" s="193">
        <v>717.91666666666663</v>
      </c>
      <c r="CC29" s="193">
        <v>428.83333333333331</v>
      </c>
      <c r="CD29" s="193">
        <v>80.952380952380963</v>
      </c>
      <c r="CE29" s="193">
        <v>79.761904761904759</v>
      </c>
      <c r="CF29" s="193">
        <v>358.95833333333331</v>
      </c>
      <c r="CG29" s="193">
        <v>430.08333333333331</v>
      </c>
      <c r="CH29" s="193">
        <v>165.53809564904122</v>
      </c>
      <c r="CI29" s="107">
        <v>395.47427825574789</v>
      </c>
      <c r="CJ29" s="311" t="s">
        <v>297</v>
      </c>
      <c r="CK29" s="311" t="s">
        <v>297</v>
      </c>
      <c r="CL29" s="320" t="s">
        <v>525</v>
      </c>
      <c r="CM29" s="311" t="s">
        <v>297</v>
      </c>
      <c r="CN29" s="311" t="s">
        <v>432</v>
      </c>
      <c r="CO29" s="311" t="s">
        <v>297</v>
      </c>
      <c r="CP29" s="320" t="s">
        <v>535</v>
      </c>
      <c r="CQ29" s="311" t="s">
        <v>297</v>
      </c>
      <c r="CR29" s="311" t="s">
        <v>432</v>
      </c>
      <c r="CS29" s="311" t="s">
        <v>297</v>
      </c>
      <c r="CT29" s="320" t="s">
        <v>554</v>
      </c>
      <c r="CU29" s="311" t="s">
        <v>297</v>
      </c>
      <c r="CV29" s="311" t="s">
        <v>432</v>
      </c>
      <c r="CW29" s="311" t="s">
        <v>297</v>
      </c>
      <c r="CX29" s="320" t="s">
        <v>431</v>
      </c>
      <c r="CY29" s="311" t="s">
        <v>297</v>
      </c>
      <c r="CZ29" s="311" t="s">
        <v>587</v>
      </c>
      <c r="DE29" s="390">
        <v>126</v>
      </c>
      <c r="DF29" s="352">
        <v>41751</v>
      </c>
      <c r="DG29" s="586">
        <v>125.5</v>
      </c>
      <c r="DH29" s="414">
        <v>42487</v>
      </c>
      <c r="DI29" s="675">
        <v>41751</v>
      </c>
      <c r="DJ29" s="666">
        <v>33</v>
      </c>
      <c r="DK29" s="675">
        <v>42486</v>
      </c>
      <c r="DL29" s="666">
        <v>33</v>
      </c>
      <c r="DM29" s="382">
        <v>15</v>
      </c>
      <c r="DN29" s="378">
        <v>48.333333333333002</v>
      </c>
      <c r="DO29" s="378">
        <v>50.33</v>
      </c>
      <c r="DP29" s="382">
        <v>497</v>
      </c>
      <c r="DQ29" s="382">
        <v>1027</v>
      </c>
      <c r="DR29" s="231" t="s">
        <v>812</v>
      </c>
      <c r="DS29" s="231"/>
      <c r="DT29" s="231"/>
    </row>
    <row r="30" spans="1:124" s="170" customFormat="1" x14ac:dyDescent="0.2">
      <c r="A30" s="222">
        <v>54.28</v>
      </c>
      <c r="B30" s="596" t="s">
        <v>453</v>
      </c>
      <c r="C30" s="596" t="s">
        <v>297</v>
      </c>
      <c r="D30" s="163" t="s">
        <v>297</v>
      </c>
      <c r="E30" s="606" t="s">
        <v>297</v>
      </c>
      <c r="F30" s="164">
        <v>1</v>
      </c>
      <c r="G30" s="168">
        <v>1</v>
      </c>
      <c r="H30" s="167">
        <v>32673</v>
      </c>
      <c r="I30" s="167">
        <v>41757</v>
      </c>
      <c r="J30" s="167">
        <v>42452</v>
      </c>
      <c r="K30" s="109">
        <f t="shared" si="0"/>
        <v>1.904109589041096</v>
      </c>
      <c r="L30" s="109">
        <f t="shared" si="1"/>
        <v>22.849315068493151</v>
      </c>
      <c r="M30" s="129">
        <v>24.8</v>
      </c>
      <c r="N30" s="577">
        <v>26.8</v>
      </c>
      <c r="O30" s="228">
        <v>-80</v>
      </c>
      <c r="P30" s="229">
        <v>11</v>
      </c>
      <c r="Q30" s="229">
        <v>6</v>
      </c>
      <c r="R30" s="229">
        <v>14</v>
      </c>
      <c r="S30" s="229">
        <v>12</v>
      </c>
      <c r="T30" s="229">
        <v>8</v>
      </c>
      <c r="U30" s="229">
        <v>9</v>
      </c>
      <c r="V30" s="229">
        <v>6</v>
      </c>
      <c r="W30" s="229">
        <v>3</v>
      </c>
      <c r="X30" s="229">
        <v>97.12</v>
      </c>
      <c r="Y30" s="229">
        <v>87.199999999999989</v>
      </c>
      <c r="Z30" s="483">
        <v>13</v>
      </c>
      <c r="AA30" s="229">
        <v>13</v>
      </c>
      <c r="AB30" s="634">
        <f>(1*60)+7</f>
        <v>67</v>
      </c>
      <c r="AC30" s="645">
        <v>57</v>
      </c>
      <c r="AD30" s="645">
        <f>(1*60)+37</f>
        <v>97</v>
      </c>
      <c r="AE30" s="645">
        <f>(1*60)+33</f>
        <v>93</v>
      </c>
      <c r="AF30" s="507">
        <v>30</v>
      </c>
      <c r="AG30" s="507">
        <v>36</v>
      </c>
      <c r="AH30" s="241">
        <v>1.4477611940298507</v>
      </c>
      <c r="AI30" s="241">
        <v>1.631578947368421</v>
      </c>
      <c r="AJ30" s="229">
        <v>6</v>
      </c>
      <c r="AK30" s="507">
        <v>5</v>
      </c>
      <c r="AL30" s="229">
        <v>52</v>
      </c>
      <c r="AM30" s="230">
        <v>52</v>
      </c>
      <c r="AN30" s="230">
        <v>323.87</v>
      </c>
      <c r="AO30" s="230">
        <v>13.8</v>
      </c>
      <c r="AP30" s="230">
        <v>17.829999999999998</v>
      </c>
      <c r="AQ30" s="243">
        <v>447.80562770562773</v>
      </c>
      <c r="AR30" s="243">
        <v>12.110006501669163</v>
      </c>
      <c r="AS30" s="243">
        <v>17.520739670083262</v>
      </c>
      <c r="AT30" s="168" t="s">
        <v>143</v>
      </c>
      <c r="AU30" s="164">
        <v>64</v>
      </c>
      <c r="AV30" s="164">
        <v>0</v>
      </c>
      <c r="AW30" s="164">
        <v>0</v>
      </c>
      <c r="AX30" s="164">
        <v>0</v>
      </c>
      <c r="AY30" s="317">
        <v>100</v>
      </c>
      <c r="AZ30" s="315">
        <v>96.875</v>
      </c>
      <c r="BA30" s="315">
        <v>0</v>
      </c>
      <c r="BB30" s="315">
        <v>3.13</v>
      </c>
      <c r="BC30" s="165">
        <v>61</v>
      </c>
      <c r="BD30" s="629">
        <v>55</v>
      </c>
      <c r="BE30" s="315">
        <v>0.63541666666666663</v>
      </c>
      <c r="BF30" s="316">
        <v>0.57291666666666663</v>
      </c>
      <c r="BG30" s="169" t="s">
        <v>68</v>
      </c>
      <c r="BH30" s="317">
        <v>95.238095238095241</v>
      </c>
      <c r="BI30" s="315">
        <v>97.619047619047635</v>
      </c>
      <c r="BJ30" s="315">
        <v>656.77777777777783</v>
      </c>
      <c r="BK30" s="315">
        <v>709</v>
      </c>
      <c r="BL30" s="315">
        <v>100</v>
      </c>
      <c r="BM30" s="315">
        <v>90.476190476190482</v>
      </c>
      <c r="BN30" s="315">
        <v>574.08333333333337</v>
      </c>
      <c r="BO30" s="315">
        <v>842.33333333333337</v>
      </c>
      <c r="BP30" s="315">
        <v>97.61904761904762</v>
      </c>
      <c r="BQ30" s="315">
        <v>94.047619047619065</v>
      </c>
      <c r="BR30" s="315">
        <v>615.43055555555566</v>
      </c>
      <c r="BS30" s="315">
        <v>775.66666666666674</v>
      </c>
      <c r="BT30" s="315">
        <v>127.80156926548035</v>
      </c>
      <c r="BU30" s="316">
        <v>151.60582546785409</v>
      </c>
      <c r="BV30" s="562">
        <v>100</v>
      </c>
      <c r="BW30" s="562">
        <v>92.857142857142847</v>
      </c>
      <c r="BX30" s="562">
        <v>732.25</v>
      </c>
      <c r="BY30" s="562">
        <v>943.1111111111112</v>
      </c>
      <c r="BZ30" s="562">
        <v>100</v>
      </c>
      <c r="CA30" s="562">
        <v>97.619047619047635</v>
      </c>
      <c r="CB30" s="562">
        <v>705</v>
      </c>
      <c r="CC30" s="562">
        <v>799.44444444444446</v>
      </c>
      <c r="CD30" s="562">
        <v>100</v>
      </c>
      <c r="CE30" s="562">
        <v>95.238095238095241</v>
      </c>
      <c r="CF30" s="562">
        <v>743.75</v>
      </c>
      <c r="CG30" s="562">
        <v>871.27777777777783</v>
      </c>
      <c r="CH30" s="562">
        <v>86.234166788687247</v>
      </c>
      <c r="CI30" s="316">
        <v>136.52502180533577</v>
      </c>
      <c r="CJ30" s="313" t="s">
        <v>297</v>
      </c>
      <c r="CK30" s="313" t="s">
        <v>297</v>
      </c>
      <c r="CL30" s="338" t="s">
        <v>526</v>
      </c>
      <c r="CM30" s="313" t="s">
        <v>297</v>
      </c>
      <c r="CN30" s="313" t="s">
        <v>432</v>
      </c>
      <c r="CO30" s="313" t="s">
        <v>297</v>
      </c>
      <c r="CP30" s="338" t="s">
        <v>428</v>
      </c>
      <c r="CQ30" s="313" t="s">
        <v>297</v>
      </c>
      <c r="CR30" s="313" t="s">
        <v>432</v>
      </c>
      <c r="CS30" s="313" t="s">
        <v>297</v>
      </c>
      <c r="CT30" s="338" t="s">
        <v>555</v>
      </c>
      <c r="CU30" s="313" t="s">
        <v>297</v>
      </c>
      <c r="CV30" s="313" t="s">
        <v>432</v>
      </c>
      <c r="CW30" s="313" t="s">
        <v>297</v>
      </c>
      <c r="CX30" s="338" t="s">
        <v>557</v>
      </c>
      <c r="CY30" s="313" t="s">
        <v>297</v>
      </c>
      <c r="CZ30" s="313" t="s">
        <v>432</v>
      </c>
      <c r="DA30" s="248"/>
      <c r="DB30" s="248"/>
      <c r="DC30" s="248"/>
      <c r="DD30" s="248"/>
      <c r="DE30" s="389">
        <v>93</v>
      </c>
      <c r="DF30" s="351">
        <v>41758</v>
      </c>
      <c r="DG30" s="587">
        <v>93</v>
      </c>
      <c r="DH30" s="654">
        <v>42452</v>
      </c>
      <c r="DI30" s="675">
        <v>41758</v>
      </c>
      <c r="DJ30" s="666">
        <v>23</v>
      </c>
      <c r="DK30" s="675">
        <v>42451</v>
      </c>
      <c r="DL30" s="666">
        <v>20</v>
      </c>
      <c r="DM30" s="407">
        <v>11</v>
      </c>
      <c r="DN30" s="408">
        <v>13.833333333333</v>
      </c>
      <c r="DO30" s="408">
        <v>15.75</v>
      </c>
      <c r="DP30" s="407">
        <v>739</v>
      </c>
      <c r="DQ30" s="407">
        <v>891</v>
      </c>
      <c r="DR30" s="318"/>
      <c r="DS30" s="318"/>
      <c r="DT30" s="318"/>
    </row>
    <row r="31" spans="1:124" x14ac:dyDescent="0.2">
      <c r="A31" s="216">
        <v>54.29</v>
      </c>
      <c r="B31" s="595" t="s">
        <v>460</v>
      </c>
      <c r="C31" s="595" t="s">
        <v>297</v>
      </c>
      <c r="D31" s="158" t="s">
        <v>297</v>
      </c>
      <c r="E31" s="605" t="s">
        <v>297</v>
      </c>
      <c r="F31" s="22">
        <v>1</v>
      </c>
      <c r="G31" s="5">
        <v>2</v>
      </c>
      <c r="H31" s="152">
        <v>33682</v>
      </c>
      <c r="I31" s="152">
        <v>41761</v>
      </c>
      <c r="J31" s="152">
        <v>42493</v>
      </c>
      <c r="K31" s="109">
        <f t="shared" si="0"/>
        <v>2.0054794520547947</v>
      </c>
      <c r="L31" s="109">
        <f t="shared" si="1"/>
        <v>24.065753424657537</v>
      </c>
      <c r="M31" s="101">
        <v>22.2</v>
      </c>
      <c r="N31" s="576">
        <v>24.2</v>
      </c>
      <c r="O31" s="90">
        <v>78</v>
      </c>
      <c r="P31" s="347">
        <v>4</v>
      </c>
      <c r="Q31" s="347">
        <v>4</v>
      </c>
      <c r="R31" s="347">
        <v>21</v>
      </c>
      <c r="S31" s="347">
        <v>20</v>
      </c>
      <c r="T31" s="16">
        <v>13</v>
      </c>
      <c r="U31" s="101">
        <v>13</v>
      </c>
      <c r="V31" s="16">
        <v>8</v>
      </c>
      <c r="W31" s="101">
        <v>7</v>
      </c>
      <c r="X31" s="16">
        <v>100.84</v>
      </c>
      <c r="Y31" s="16">
        <v>99.6</v>
      </c>
      <c r="Z31" s="484">
        <v>16</v>
      </c>
      <c r="AA31" s="22">
        <v>16</v>
      </c>
      <c r="AB31">
        <f>(1*60)+31</f>
        <v>91</v>
      </c>
      <c r="AC31" s="644">
        <f>(1*60)+19</f>
        <v>79</v>
      </c>
      <c r="AD31" s="644">
        <f>(1*60)+43</f>
        <v>103</v>
      </c>
      <c r="AE31" s="644">
        <f>(1*60)+44</f>
        <v>104</v>
      </c>
      <c r="AF31" s="508">
        <v>12</v>
      </c>
      <c r="AG31" s="508">
        <v>25</v>
      </c>
      <c r="AH31" s="30">
        <v>1.1318681318681318</v>
      </c>
      <c r="AI31" s="30">
        <v>1.3164556962025316</v>
      </c>
      <c r="AJ31" s="16">
        <v>7</v>
      </c>
      <c r="AK31" s="508">
        <v>6</v>
      </c>
      <c r="AL31" s="16">
        <v>60</v>
      </c>
      <c r="AM31" s="91">
        <v>68</v>
      </c>
      <c r="AN31" s="91">
        <v>477.46</v>
      </c>
      <c r="AO31" s="91">
        <v>10.35</v>
      </c>
      <c r="AP31" s="91">
        <v>12.58</v>
      </c>
      <c r="AQ31" s="107">
        <v>576.04722222222222</v>
      </c>
      <c r="AR31" s="107">
        <v>10.335502559821267</v>
      </c>
      <c r="AS31" s="107">
        <v>12.588265283594421</v>
      </c>
      <c r="AT31" s="5" t="s">
        <v>134</v>
      </c>
      <c r="AU31" s="16">
        <v>61</v>
      </c>
      <c r="AV31" s="16">
        <v>2</v>
      </c>
      <c r="AW31" s="16">
        <v>1</v>
      </c>
      <c r="AX31" s="16">
        <v>3</v>
      </c>
      <c r="AY31" s="74">
        <v>95.3125</v>
      </c>
      <c r="AZ31" s="30">
        <v>67.1875</v>
      </c>
      <c r="BA31" s="30">
        <v>4.6875</v>
      </c>
      <c r="BB31" s="30">
        <v>32.8125</v>
      </c>
      <c r="BC31" s="90">
        <v>82</v>
      </c>
      <c r="BD31" s="508">
        <v>67</v>
      </c>
      <c r="BE31" s="30">
        <v>0.85416666666666663</v>
      </c>
      <c r="BF31" s="107">
        <v>0.69791666666666663</v>
      </c>
      <c r="BG31" s="108" t="s">
        <v>68</v>
      </c>
      <c r="BH31" s="74">
        <v>100</v>
      </c>
      <c r="BI31" s="191">
        <v>97.619047619047635</v>
      </c>
      <c r="BJ31" s="30">
        <v>708.16666666666663</v>
      </c>
      <c r="BK31" s="191">
        <v>754.8888888888888</v>
      </c>
      <c r="BL31" s="30">
        <v>97.619047619047635</v>
      </c>
      <c r="BM31" s="191">
        <v>95.238095238095241</v>
      </c>
      <c r="BN31" s="30">
        <v>835.1388888888888</v>
      </c>
      <c r="BO31" s="191">
        <v>891.1111111111112</v>
      </c>
      <c r="BP31" s="30">
        <v>98.809523809523824</v>
      </c>
      <c r="BQ31" s="191">
        <v>96.428571428571445</v>
      </c>
      <c r="BR31" s="30">
        <v>771.65277777777771</v>
      </c>
      <c r="BS31" s="191">
        <v>823</v>
      </c>
      <c r="BT31" s="191">
        <v>207.39545201808687</v>
      </c>
      <c r="BU31" s="344">
        <v>285.56796372275716</v>
      </c>
      <c r="BV31" s="193">
        <v>97.619047619047635</v>
      </c>
      <c r="BW31" s="193">
        <v>97.619047619047635</v>
      </c>
      <c r="BX31" s="193">
        <v>834.58333333333337</v>
      </c>
      <c r="BY31" s="193">
        <v>814.3611111111112</v>
      </c>
      <c r="BZ31" s="193">
        <v>97.619047619047635</v>
      </c>
      <c r="CA31" s="193">
        <v>92.857142857142847</v>
      </c>
      <c r="CB31" s="193">
        <v>837.41666666666663</v>
      </c>
      <c r="CC31" s="193">
        <v>773.80555555555554</v>
      </c>
      <c r="CD31" s="193">
        <v>97.619047619047635</v>
      </c>
      <c r="CE31" s="193">
        <v>95.238095238095241</v>
      </c>
      <c r="CF31" s="193">
        <v>836</v>
      </c>
      <c r="CG31" s="193">
        <v>794.08333333333337</v>
      </c>
      <c r="CH31" s="193">
        <v>191.67095486982757</v>
      </c>
      <c r="CI31" s="107">
        <v>182.59053990598181</v>
      </c>
      <c r="CJ31" s="311" t="s">
        <v>297</v>
      </c>
      <c r="CK31" s="247" t="s">
        <v>296</v>
      </c>
      <c r="CM31" s="311" t="s">
        <v>297</v>
      </c>
      <c r="CN31" s="311" t="s">
        <v>529</v>
      </c>
      <c r="CO31" s="247" t="s">
        <v>296</v>
      </c>
      <c r="CQ31" s="311" t="s">
        <v>297</v>
      </c>
      <c r="CR31" s="320" t="s">
        <v>538</v>
      </c>
      <c r="CS31" s="247" t="s">
        <v>296</v>
      </c>
      <c r="CU31" s="311" t="s">
        <v>297</v>
      </c>
      <c r="CV31" s="311" t="s">
        <v>577</v>
      </c>
      <c r="CW31" s="247" t="s">
        <v>296</v>
      </c>
      <c r="CY31" s="247" t="s">
        <v>296</v>
      </c>
      <c r="DE31" s="390">
        <v>108</v>
      </c>
      <c r="DF31" s="352">
        <v>41760</v>
      </c>
      <c r="DG31" s="586">
        <v>109</v>
      </c>
      <c r="DH31" s="414">
        <v>42493</v>
      </c>
      <c r="DI31" s="675">
        <v>41760</v>
      </c>
      <c r="DJ31" s="666">
        <v>27</v>
      </c>
      <c r="DK31" s="675">
        <v>42492</v>
      </c>
      <c r="DL31" s="666">
        <v>25</v>
      </c>
      <c r="DM31" s="382">
        <v>11</v>
      </c>
      <c r="DN31" s="378">
        <v>11.166666666667</v>
      </c>
      <c r="DO31" s="378">
        <v>13.166666666667</v>
      </c>
      <c r="DP31" s="382">
        <v>659</v>
      </c>
      <c r="DQ31" s="382">
        <v>865</v>
      </c>
      <c r="DR31" s="231" t="s">
        <v>813</v>
      </c>
      <c r="DS31" s="231"/>
      <c r="DT31" s="231"/>
    </row>
    <row r="32" spans="1:124" s="197" customFormat="1" x14ac:dyDescent="0.2">
      <c r="A32" s="342">
        <v>54.3</v>
      </c>
      <c r="B32" s="598" t="s">
        <v>461</v>
      </c>
      <c r="C32" s="598" t="s">
        <v>297</v>
      </c>
      <c r="D32" s="343" t="s">
        <v>297</v>
      </c>
      <c r="E32" s="608" t="s">
        <v>297</v>
      </c>
      <c r="F32" s="22">
        <v>1</v>
      </c>
      <c r="G32" s="153">
        <v>2</v>
      </c>
      <c r="H32" s="227">
        <v>33136</v>
      </c>
      <c r="I32" s="227">
        <v>41761</v>
      </c>
      <c r="J32" s="227">
        <v>42493</v>
      </c>
      <c r="K32" s="109">
        <f t="shared" si="0"/>
        <v>2.0054794520547947</v>
      </c>
      <c r="L32" s="109">
        <f t="shared" si="1"/>
        <v>24.065753424657537</v>
      </c>
      <c r="M32" s="101">
        <v>23.7</v>
      </c>
      <c r="N32" s="576">
        <v>25.7</v>
      </c>
      <c r="O32" s="151">
        <v>60</v>
      </c>
      <c r="P32" s="22">
        <v>11</v>
      </c>
      <c r="Q32" s="22">
        <v>21</v>
      </c>
      <c r="R32" s="22">
        <v>20</v>
      </c>
      <c r="S32" s="22">
        <v>20</v>
      </c>
      <c r="T32" s="22">
        <v>13</v>
      </c>
      <c r="U32" s="22">
        <v>12</v>
      </c>
      <c r="V32" s="22">
        <v>7</v>
      </c>
      <c r="W32" s="22">
        <v>8</v>
      </c>
      <c r="X32" s="22">
        <v>104.56</v>
      </c>
      <c r="Y32" s="22">
        <v>105.8</v>
      </c>
      <c r="Z32" s="486">
        <v>17</v>
      </c>
      <c r="AA32" s="101">
        <v>17</v>
      </c>
      <c r="AB32">
        <f>(1*60)+33</f>
        <v>93</v>
      </c>
      <c r="AC32" s="644">
        <f>(1*60)+36</f>
        <v>96</v>
      </c>
      <c r="AD32" s="644">
        <f>(2*60)+55</f>
        <v>175</v>
      </c>
      <c r="AE32" s="644">
        <f>(2*60)+18</f>
        <v>138</v>
      </c>
      <c r="AF32" s="509">
        <v>82</v>
      </c>
      <c r="AG32" s="509">
        <v>42</v>
      </c>
      <c r="AH32" s="191">
        <v>1.881720430107527</v>
      </c>
      <c r="AI32" s="191">
        <v>1.4375</v>
      </c>
      <c r="AJ32" s="22">
        <v>7</v>
      </c>
      <c r="AK32" s="509">
        <v>6</v>
      </c>
      <c r="AL32" s="22">
        <v>61</v>
      </c>
      <c r="AM32" s="148">
        <v>67</v>
      </c>
      <c r="AN32" s="148">
        <v>762.86</v>
      </c>
      <c r="AO32" s="148">
        <v>4.5</v>
      </c>
      <c r="AP32" s="148">
        <v>3.03</v>
      </c>
      <c r="AQ32" s="344">
        <v>833.59185383244221</v>
      </c>
      <c r="AR32" s="344">
        <v>5.7595341218887111</v>
      </c>
      <c r="AS32" s="344">
        <v>2.8676825655280069</v>
      </c>
      <c r="AT32" s="153" t="s">
        <v>143</v>
      </c>
      <c r="AU32" s="123">
        <v>52</v>
      </c>
      <c r="AV32" s="123">
        <v>0</v>
      </c>
      <c r="AW32" s="123">
        <v>12</v>
      </c>
      <c r="AX32" s="123">
        <v>12</v>
      </c>
      <c r="AY32" s="467">
        <v>81.25</v>
      </c>
      <c r="AZ32" s="358"/>
      <c r="BA32" s="358">
        <v>18.75</v>
      </c>
      <c r="BB32" s="358"/>
      <c r="BC32" s="449">
        <v>91</v>
      </c>
      <c r="BD32" s="506">
        <v>67</v>
      </c>
      <c r="BE32" s="358">
        <v>0.94791666666666663</v>
      </c>
      <c r="BF32" s="450">
        <v>0.7</v>
      </c>
      <c r="BG32" s="345" t="s">
        <v>67</v>
      </c>
      <c r="BH32" s="346">
        <v>100</v>
      </c>
      <c r="BI32" s="30">
        <v>97.619047619047635</v>
      </c>
      <c r="BJ32" s="197">
        <v>646.25</v>
      </c>
      <c r="BK32" s="30">
        <v>649</v>
      </c>
      <c r="BL32" s="197">
        <v>100</v>
      </c>
      <c r="BM32" s="30">
        <v>92.857142857142847</v>
      </c>
      <c r="BN32" s="197">
        <v>691.25</v>
      </c>
      <c r="BO32" s="30">
        <v>744.02777777777771</v>
      </c>
      <c r="BP32" s="197">
        <v>100</v>
      </c>
      <c r="BQ32" s="30">
        <v>95.238095238095241</v>
      </c>
      <c r="BR32" s="197">
        <v>668.75</v>
      </c>
      <c r="BS32" s="30">
        <v>696.51388888888891</v>
      </c>
      <c r="BT32" s="30">
        <v>94.978830593293608</v>
      </c>
      <c r="BU32" s="107">
        <v>135.85942569355862</v>
      </c>
      <c r="BV32" s="563">
        <v>100</v>
      </c>
      <c r="BW32" s="563">
        <v>100</v>
      </c>
      <c r="BX32" s="563">
        <v>711.58333333333337</v>
      </c>
      <c r="BY32" s="563">
        <v>884.75</v>
      </c>
      <c r="BZ32" s="563">
        <v>100</v>
      </c>
      <c r="CA32" s="563">
        <v>100</v>
      </c>
      <c r="CB32" s="563">
        <v>770.58333333333337</v>
      </c>
      <c r="CC32" s="563">
        <v>840.66666666666663</v>
      </c>
      <c r="CD32" s="563">
        <v>100</v>
      </c>
      <c r="CE32" s="563">
        <v>100</v>
      </c>
      <c r="CF32" s="563">
        <v>741.08333333333337</v>
      </c>
      <c r="CG32" s="563">
        <v>862.70833333333326</v>
      </c>
      <c r="CH32" s="563">
        <v>93.087110519811304</v>
      </c>
      <c r="CI32" s="344">
        <v>199.60340660303416</v>
      </c>
      <c r="CJ32" s="314" t="s">
        <v>297</v>
      </c>
      <c r="CK32" s="314" t="s">
        <v>297</v>
      </c>
      <c r="CL32" s="325" t="s">
        <v>406</v>
      </c>
      <c r="CM32" s="314" t="s">
        <v>297</v>
      </c>
      <c r="CN32" s="314" t="s">
        <v>432</v>
      </c>
      <c r="CO32" s="314" t="s">
        <v>297</v>
      </c>
      <c r="CP32" s="325" t="s">
        <v>384</v>
      </c>
      <c r="CQ32" s="314" t="s">
        <v>297</v>
      </c>
      <c r="CR32" s="325" t="s">
        <v>539</v>
      </c>
      <c r="CS32" s="314" t="s">
        <v>297</v>
      </c>
      <c r="CT32" s="325" t="s">
        <v>555</v>
      </c>
      <c r="CU32" s="314" t="s">
        <v>297</v>
      </c>
      <c r="CV32" s="314" t="s">
        <v>432</v>
      </c>
      <c r="CW32" s="314" t="s">
        <v>558</v>
      </c>
      <c r="CX32" s="326"/>
      <c r="CY32" s="314" t="s">
        <v>558</v>
      </c>
      <c r="CZ32" s="251"/>
      <c r="DA32" s="251"/>
      <c r="DB32" s="251"/>
      <c r="DC32" s="251"/>
      <c r="DD32" s="251"/>
      <c r="DE32" s="390">
        <v>119</v>
      </c>
      <c r="DF32" s="352">
        <v>41760</v>
      </c>
      <c r="DG32" s="586">
        <v>116</v>
      </c>
      <c r="DH32" s="414">
        <v>42493</v>
      </c>
      <c r="DI32" s="675">
        <v>41760</v>
      </c>
      <c r="DJ32" s="666">
        <v>28</v>
      </c>
      <c r="DK32" s="675">
        <v>42492</v>
      </c>
      <c r="DL32" s="666">
        <v>32</v>
      </c>
      <c r="DM32" s="382">
        <v>9</v>
      </c>
      <c r="DN32" s="378">
        <v>14.666666666667</v>
      </c>
      <c r="DO32" s="378">
        <v>16.666666666666998</v>
      </c>
      <c r="DP32" s="382">
        <v>694</v>
      </c>
      <c r="DQ32" s="382">
        <v>1000</v>
      </c>
      <c r="DR32" s="22" t="s">
        <v>814</v>
      </c>
      <c r="DS32" s="22"/>
      <c r="DT32" s="22"/>
    </row>
    <row r="33" spans="1:124" x14ac:dyDescent="0.2">
      <c r="A33" s="216">
        <v>54.31</v>
      </c>
      <c r="B33" s="595" t="s">
        <v>464</v>
      </c>
      <c r="C33" s="595" t="s">
        <v>297</v>
      </c>
      <c r="D33" s="158" t="s">
        <v>297</v>
      </c>
      <c r="E33" s="605" t="s">
        <v>297</v>
      </c>
      <c r="F33" s="22">
        <v>1</v>
      </c>
      <c r="G33" s="5">
        <v>1</v>
      </c>
      <c r="H33" s="152">
        <v>26739</v>
      </c>
      <c r="I33" s="152">
        <v>41768</v>
      </c>
      <c r="J33" s="152">
        <v>42436</v>
      </c>
      <c r="K33" s="109">
        <f t="shared" si="0"/>
        <v>1.8301369863013699</v>
      </c>
      <c r="L33" s="109">
        <f t="shared" si="1"/>
        <v>21.961643835616439</v>
      </c>
      <c r="M33" s="101">
        <v>41.2</v>
      </c>
      <c r="N33" s="576">
        <v>43</v>
      </c>
      <c r="O33" s="90">
        <v>100</v>
      </c>
      <c r="P33" s="16">
        <v>6</v>
      </c>
      <c r="Q33" s="16">
        <v>5</v>
      </c>
      <c r="R33" s="16">
        <v>16</v>
      </c>
      <c r="S33" s="22">
        <v>16</v>
      </c>
      <c r="T33" s="16">
        <v>11</v>
      </c>
      <c r="U33" s="22">
        <v>10</v>
      </c>
      <c r="V33" s="16">
        <v>5</v>
      </c>
      <c r="W33" s="22">
        <v>6</v>
      </c>
      <c r="X33" s="16">
        <v>113.24</v>
      </c>
      <c r="Y33" s="16">
        <v>115.72</v>
      </c>
      <c r="Z33" s="484">
        <v>16</v>
      </c>
      <c r="AA33" s="22">
        <v>18</v>
      </c>
      <c r="AB33">
        <f>(1*60)+48</f>
        <v>108</v>
      </c>
      <c r="AC33" s="644">
        <f>(1*60)+3</f>
        <v>63</v>
      </c>
      <c r="AD33" s="644">
        <f>(1*60)+56</f>
        <v>116</v>
      </c>
      <c r="AE33" s="644">
        <f>(2*60)+13</f>
        <v>133</v>
      </c>
      <c r="AF33" s="508">
        <v>8</v>
      </c>
      <c r="AG33" s="508">
        <v>70</v>
      </c>
      <c r="AH33" s="30">
        <v>1.0740740740740742</v>
      </c>
      <c r="AI33" s="30">
        <v>2.1111111111111112</v>
      </c>
      <c r="AJ33" s="16">
        <v>7</v>
      </c>
      <c r="AK33" s="508">
        <v>7</v>
      </c>
      <c r="AL33" s="16">
        <v>55</v>
      </c>
      <c r="AM33" s="91">
        <v>57</v>
      </c>
      <c r="AN33" s="91">
        <v>431</v>
      </c>
      <c r="AO33" s="91">
        <v>8.4600000000000009</v>
      </c>
      <c r="AP33" s="91">
        <v>25.54</v>
      </c>
      <c r="AQ33" s="107">
        <v>417.67940372670807</v>
      </c>
      <c r="AR33" s="107">
        <v>11.310275405160018</v>
      </c>
      <c r="AS33" s="107">
        <v>22.702398492298137</v>
      </c>
      <c r="AT33" s="5" t="s">
        <v>134</v>
      </c>
      <c r="AU33" s="16">
        <v>64</v>
      </c>
      <c r="AV33" s="16">
        <v>0</v>
      </c>
      <c r="AW33" s="16">
        <v>0</v>
      </c>
      <c r="AX33" s="16">
        <v>0</v>
      </c>
      <c r="AY33" s="74">
        <v>100</v>
      </c>
      <c r="AZ33" s="30">
        <v>98.4375</v>
      </c>
      <c r="BA33" s="30">
        <v>0</v>
      </c>
      <c r="BB33" s="30">
        <v>1.56</v>
      </c>
      <c r="BC33" s="90">
        <v>100</v>
      </c>
      <c r="BD33" s="508">
        <v>70</v>
      </c>
      <c r="BE33" s="30">
        <v>1.0416666666666667</v>
      </c>
      <c r="BF33" s="107">
        <v>0.72916666666666663</v>
      </c>
      <c r="BG33" s="108" t="s">
        <v>67</v>
      </c>
      <c r="BH33" s="74">
        <v>100</v>
      </c>
      <c r="BI33" s="30">
        <v>97.619047619047635</v>
      </c>
      <c r="BJ33" s="30">
        <v>504.83333333333331</v>
      </c>
      <c r="BK33" s="30">
        <v>788.27777777777783</v>
      </c>
      <c r="BL33" s="30">
        <v>100</v>
      </c>
      <c r="BM33" s="30">
        <v>100</v>
      </c>
      <c r="BN33" s="30">
        <v>498.25</v>
      </c>
      <c r="BO33" s="30">
        <v>649.91666666666663</v>
      </c>
      <c r="BP33" s="30">
        <v>100</v>
      </c>
      <c r="BQ33" s="30">
        <v>98.809523809523824</v>
      </c>
      <c r="BR33" s="30">
        <v>501.54166666666663</v>
      </c>
      <c r="BS33" s="30">
        <v>719.09722222222217</v>
      </c>
      <c r="BT33" s="30">
        <v>41.843371680867072</v>
      </c>
      <c r="BU33" s="107">
        <v>258.97741290556002</v>
      </c>
      <c r="BV33" s="193">
        <v>100</v>
      </c>
      <c r="BW33" s="193">
        <v>97.619047619047635</v>
      </c>
      <c r="BX33" s="193">
        <v>515.58333333333337</v>
      </c>
      <c r="BY33" s="193">
        <v>613.41666666666663</v>
      </c>
      <c r="BZ33" s="193">
        <v>100</v>
      </c>
      <c r="CA33" s="193">
        <v>100</v>
      </c>
      <c r="CB33" s="193">
        <v>536.41666666666663</v>
      </c>
      <c r="CC33" s="193">
        <v>657.25</v>
      </c>
      <c r="CD33" s="193">
        <v>100</v>
      </c>
      <c r="CE33" s="193">
        <v>98.809523809523824</v>
      </c>
      <c r="CF33" s="193">
        <v>526</v>
      </c>
      <c r="CG33" s="193">
        <v>635.33333333333326</v>
      </c>
      <c r="CH33" s="193">
        <v>58.890465752290829</v>
      </c>
      <c r="CI33" s="107">
        <v>135.59137053236788</v>
      </c>
      <c r="CJ33" s="311" t="s">
        <v>297</v>
      </c>
      <c r="CK33" s="247" t="s">
        <v>296</v>
      </c>
      <c r="CM33" s="311" t="s">
        <v>297</v>
      </c>
      <c r="CN33" s="311" t="s">
        <v>530</v>
      </c>
      <c r="CO33" s="247" t="s">
        <v>296</v>
      </c>
      <c r="CQ33" s="311" t="s">
        <v>297</v>
      </c>
      <c r="CR33" s="320" t="s">
        <v>432</v>
      </c>
      <c r="CS33" s="247" t="s">
        <v>296</v>
      </c>
      <c r="CU33" s="311" t="s">
        <v>297</v>
      </c>
      <c r="CV33" s="311" t="s">
        <v>432</v>
      </c>
      <c r="CW33" s="247" t="s">
        <v>296</v>
      </c>
      <c r="CY33" s="247" t="s">
        <v>296</v>
      </c>
      <c r="DE33" s="390">
        <v>88</v>
      </c>
      <c r="DF33" s="352">
        <v>41767</v>
      </c>
      <c r="DG33" s="586">
        <v>95</v>
      </c>
      <c r="DH33" s="414">
        <v>42436</v>
      </c>
      <c r="DI33" s="675">
        <v>41767</v>
      </c>
      <c r="DJ33" s="666">
        <v>26.5</v>
      </c>
      <c r="DK33" s="667" t="s">
        <v>837</v>
      </c>
      <c r="DL33" s="668"/>
      <c r="DM33" s="382">
        <v>23</v>
      </c>
      <c r="DN33" s="378">
        <v>18.166666666666998</v>
      </c>
      <c r="DO33" s="378">
        <v>20</v>
      </c>
      <c r="DP33" s="382">
        <v>554</v>
      </c>
      <c r="DQ33" s="382">
        <v>992</v>
      </c>
      <c r="DR33" s="22" t="s">
        <v>815</v>
      </c>
      <c r="DS33" s="22"/>
      <c r="DT33" s="22"/>
    </row>
    <row r="34" spans="1:124" x14ac:dyDescent="0.2">
      <c r="A34" s="216">
        <v>54.32</v>
      </c>
      <c r="B34" s="595" t="s">
        <v>802</v>
      </c>
      <c r="C34" s="595" t="s">
        <v>297</v>
      </c>
      <c r="D34" s="158" t="s">
        <v>296</v>
      </c>
      <c r="E34" s="605" t="s">
        <v>297</v>
      </c>
      <c r="F34" s="22">
        <v>1</v>
      </c>
      <c r="G34" s="5">
        <v>2</v>
      </c>
      <c r="H34" s="152">
        <v>21230</v>
      </c>
      <c r="I34" s="152">
        <v>41775</v>
      </c>
      <c r="J34" s="152">
        <v>42517</v>
      </c>
      <c r="K34" s="109">
        <f t="shared" si="0"/>
        <v>2.032876712328767</v>
      </c>
      <c r="L34" s="109">
        <f t="shared" si="1"/>
        <v>24.394520547945206</v>
      </c>
      <c r="M34" s="101">
        <v>56.3</v>
      </c>
      <c r="N34" s="576">
        <v>58.3</v>
      </c>
      <c r="O34" s="90">
        <v>82</v>
      </c>
      <c r="P34" s="16">
        <v>6</v>
      </c>
      <c r="Q34" s="22">
        <v>9</v>
      </c>
      <c r="R34" s="16">
        <v>18</v>
      </c>
      <c r="S34" s="22">
        <v>18</v>
      </c>
      <c r="T34" s="16">
        <v>11</v>
      </c>
      <c r="U34" s="22">
        <v>11</v>
      </c>
      <c r="V34" s="16">
        <v>7</v>
      </c>
      <c r="W34" s="22">
        <v>7</v>
      </c>
      <c r="X34" s="16">
        <v>98.359999999999985</v>
      </c>
      <c r="Y34" s="16">
        <v>102.08</v>
      </c>
      <c r="Z34" s="484">
        <v>14</v>
      </c>
      <c r="AA34" s="22">
        <v>14</v>
      </c>
      <c r="AB34">
        <f>(1*60)+36</f>
        <v>96</v>
      </c>
      <c r="AC34" s="644">
        <v>115</v>
      </c>
      <c r="AD34" s="644">
        <f>(2*60)+6</f>
        <v>126</v>
      </c>
      <c r="AE34" s="644">
        <v>160</v>
      </c>
      <c r="AF34" s="508">
        <v>30</v>
      </c>
      <c r="AG34" s="508">
        <v>45</v>
      </c>
      <c r="AH34" s="30">
        <v>1.3125</v>
      </c>
      <c r="AI34" s="30">
        <v>1.39</v>
      </c>
      <c r="AJ34" s="16">
        <v>6</v>
      </c>
      <c r="AK34" s="508">
        <v>6</v>
      </c>
      <c r="AL34" s="16">
        <v>58</v>
      </c>
      <c r="AM34" s="91">
        <v>53</v>
      </c>
      <c r="AN34" s="91">
        <v>607.51</v>
      </c>
      <c r="AO34" s="91">
        <v>5.09</v>
      </c>
      <c r="AP34" s="91">
        <v>3.14</v>
      </c>
      <c r="AQ34" s="107">
        <v>1217.8758119658119</v>
      </c>
      <c r="AR34" s="107">
        <v>4.9116854913048797</v>
      </c>
      <c r="AS34" s="107">
        <v>3.7305610935987885</v>
      </c>
      <c r="AT34" s="5" t="s">
        <v>143</v>
      </c>
      <c r="AU34" s="16">
        <v>64</v>
      </c>
      <c r="AV34" s="16">
        <v>0</v>
      </c>
      <c r="AW34" s="16">
        <v>0</v>
      </c>
      <c r="AX34" s="16">
        <v>0</v>
      </c>
      <c r="AY34" s="74">
        <v>100</v>
      </c>
      <c r="AZ34" s="30">
        <v>93.75</v>
      </c>
      <c r="BA34" s="30">
        <v>0</v>
      </c>
      <c r="BB34" s="30">
        <v>6.25</v>
      </c>
      <c r="BC34" s="90">
        <v>91</v>
      </c>
      <c r="BD34" s="508">
        <v>69</v>
      </c>
      <c r="BE34" s="30">
        <v>0.94791666666666663</v>
      </c>
      <c r="BF34" s="107">
        <v>0.71875</v>
      </c>
      <c r="BG34" s="108" t="s">
        <v>68</v>
      </c>
      <c r="BH34" s="74">
        <v>92.857142857142847</v>
      </c>
      <c r="BI34" s="30">
        <v>90.476190476190482</v>
      </c>
      <c r="BJ34" s="30">
        <v>564.66666666666663</v>
      </c>
      <c r="BK34" s="30">
        <v>802.75</v>
      </c>
      <c r="BL34" s="30">
        <v>95.238095238095241</v>
      </c>
      <c r="BM34" s="30">
        <v>100</v>
      </c>
      <c r="BN34" s="30">
        <v>585.19444444444446</v>
      </c>
      <c r="BO34" s="30">
        <v>772.41666666666663</v>
      </c>
      <c r="BP34" s="30">
        <v>94.047619047619037</v>
      </c>
      <c r="BQ34" s="30">
        <v>95.238095238095241</v>
      </c>
      <c r="BR34" s="30">
        <v>574.93055555555554</v>
      </c>
      <c r="BS34" s="30">
        <v>787.58333333333326</v>
      </c>
      <c r="BT34" s="30">
        <v>83.505697895578692</v>
      </c>
      <c r="BU34" s="107">
        <v>215.35884781762115</v>
      </c>
      <c r="BV34" s="193">
        <v>97.619047619047635</v>
      </c>
      <c r="BW34" s="193">
        <v>97.619047619047635</v>
      </c>
      <c r="BX34" s="193">
        <v>560.75</v>
      </c>
      <c r="BY34" s="193">
        <v>712.25</v>
      </c>
      <c r="BZ34" s="193">
        <v>100</v>
      </c>
      <c r="CA34" s="193">
        <v>100</v>
      </c>
      <c r="CB34" s="193">
        <v>642.41666666666663</v>
      </c>
      <c r="CC34" s="193">
        <v>724.83333333333337</v>
      </c>
      <c r="CD34" s="193">
        <v>98.809523809523824</v>
      </c>
      <c r="CE34" s="193">
        <v>98.809523809523824</v>
      </c>
      <c r="CF34" s="193">
        <v>601.58333333333326</v>
      </c>
      <c r="CG34" s="193">
        <v>718.54166666666674</v>
      </c>
      <c r="CH34" s="193">
        <v>143.81900360210216</v>
      </c>
      <c r="CI34" s="107">
        <v>188.47557312995946</v>
      </c>
      <c r="CJ34" s="311" t="s">
        <v>297</v>
      </c>
      <c r="CK34" s="311" t="s">
        <v>297</v>
      </c>
      <c r="CL34" s="320" t="s">
        <v>527</v>
      </c>
      <c r="CM34" s="311" t="s">
        <v>297</v>
      </c>
      <c r="CN34" s="311" t="s">
        <v>531</v>
      </c>
      <c r="CO34" s="311" t="s">
        <v>297</v>
      </c>
      <c r="CP34" s="320" t="s">
        <v>536</v>
      </c>
      <c r="CQ34" s="311" t="s">
        <v>297</v>
      </c>
      <c r="CR34" s="320" t="s">
        <v>432</v>
      </c>
      <c r="CS34" s="311" t="s">
        <v>297</v>
      </c>
      <c r="CT34" s="320" t="s">
        <v>525</v>
      </c>
      <c r="CU34" s="311" t="s">
        <v>297</v>
      </c>
      <c r="CV34" s="311" t="s">
        <v>432</v>
      </c>
      <c r="CW34" s="247" t="s">
        <v>296</v>
      </c>
      <c r="CY34" s="311" t="s">
        <v>297</v>
      </c>
      <c r="CZ34" s="311" t="s">
        <v>588</v>
      </c>
      <c r="DE34" s="415">
        <v>106</v>
      </c>
      <c r="DF34" s="371">
        <v>41774</v>
      </c>
      <c r="DG34" s="416">
        <v>109.5</v>
      </c>
      <c r="DH34" s="663">
        <v>42517</v>
      </c>
      <c r="DI34" s="675">
        <v>41774</v>
      </c>
      <c r="DJ34" s="666">
        <v>29.5</v>
      </c>
      <c r="DK34" s="675">
        <v>42516</v>
      </c>
      <c r="DL34" s="666">
        <v>29</v>
      </c>
      <c r="DM34" s="664">
        <v>20</v>
      </c>
      <c r="DN34" s="416">
        <v>36.25</v>
      </c>
      <c r="DO34" s="583">
        <v>38.25</v>
      </c>
      <c r="DP34" s="383">
        <v>1077</v>
      </c>
      <c r="DQ34" s="383">
        <v>1077</v>
      </c>
      <c r="DR34" s="231" t="s">
        <v>816</v>
      </c>
      <c r="DS34" s="231"/>
      <c r="DT34" s="231"/>
    </row>
    <row r="35" spans="1:124" x14ac:dyDescent="0.2">
      <c r="A35" s="216">
        <v>54.33</v>
      </c>
      <c r="B35" s="595" t="s">
        <v>483</v>
      </c>
      <c r="C35" s="595" t="s">
        <v>297</v>
      </c>
      <c r="D35" s="158" t="s">
        <v>297</v>
      </c>
      <c r="E35" s="605" t="s">
        <v>297</v>
      </c>
      <c r="F35" s="22">
        <v>1</v>
      </c>
      <c r="G35" s="5">
        <v>2</v>
      </c>
      <c r="H35" s="152">
        <v>24504</v>
      </c>
      <c r="I35" s="152">
        <v>41775</v>
      </c>
      <c r="J35" s="152">
        <v>42487</v>
      </c>
      <c r="K35" s="109">
        <f t="shared" si="0"/>
        <v>1.9506849315068493</v>
      </c>
      <c r="L35" s="109">
        <f t="shared" si="1"/>
        <v>23.408219178082192</v>
      </c>
      <c r="M35" s="101">
        <v>46.4</v>
      </c>
      <c r="N35" s="576">
        <v>48.4</v>
      </c>
      <c r="O35" s="90">
        <v>100</v>
      </c>
      <c r="P35" s="16">
        <v>5</v>
      </c>
      <c r="Q35" s="16">
        <v>7</v>
      </c>
      <c r="R35" s="16">
        <v>15</v>
      </c>
      <c r="S35" s="22">
        <v>16</v>
      </c>
      <c r="T35" s="16">
        <v>9</v>
      </c>
      <c r="U35" s="22">
        <v>8</v>
      </c>
      <c r="V35" s="16">
        <v>6</v>
      </c>
      <c r="W35" s="22">
        <v>8</v>
      </c>
      <c r="X35" s="16">
        <v>103.32</v>
      </c>
      <c r="Y35" s="16">
        <v>99.6</v>
      </c>
      <c r="Z35" s="484">
        <v>12</v>
      </c>
      <c r="AA35" s="22">
        <v>12</v>
      </c>
      <c r="AB35">
        <f>(0*60)+55</f>
        <v>55</v>
      </c>
      <c r="AC35" s="644">
        <v>55</v>
      </c>
      <c r="AD35" s="644">
        <f>(1*60)+24</f>
        <v>84</v>
      </c>
      <c r="AE35" s="644">
        <f>(1*60)+45</f>
        <v>105</v>
      </c>
      <c r="AF35" s="508">
        <v>29</v>
      </c>
      <c r="AG35" s="508">
        <v>50</v>
      </c>
      <c r="AH35" s="30">
        <v>1.5272727272727273</v>
      </c>
      <c r="AI35" s="30">
        <v>1.9090909090909092</v>
      </c>
      <c r="AJ35" s="16">
        <v>6</v>
      </c>
      <c r="AK35" s="508">
        <v>6</v>
      </c>
      <c r="AL35" s="16">
        <v>56</v>
      </c>
      <c r="AM35" s="91">
        <v>58</v>
      </c>
      <c r="AN35" s="91">
        <v>527.47</v>
      </c>
      <c r="AO35" s="91">
        <v>10.210000000000001</v>
      </c>
      <c r="AP35" s="91">
        <v>18.079999999999998</v>
      </c>
      <c r="AQ35" s="107">
        <v>542.76143790849676</v>
      </c>
      <c r="AR35" s="107">
        <v>14.230417854283839</v>
      </c>
      <c r="AS35" s="107">
        <v>10.099904053385583</v>
      </c>
      <c r="AT35" s="5" t="s">
        <v>134</v>
      </c>
      <c r="AU35" s="16">
        <v>62</v>
      </c>
      <c r="AV35" s="16">
        <v>1</v>
      </c>
      <c r="AW35" s="16">
        <v>1</v>
      </c>
      <c r="AX35" s="16">
        <v>2</v>
      </c>
      <c r="AY35" s="74">
        <v>96.875</v>
      </c>
      <c r="AZ35" s="30">
        <v>92.1875</v>
      </c>
      <c r="BA35" s="30">
        <v>3.125</v>
      </c>
      <c r="BB35" s="30">
        <v>7.8125</v>
      </c>
      <c r="BC35" s="90">
        <v>96</v>
      </c>
      <c r="BD35" s="508">
        <v>84</v>
      </c>
      <c r="BE35" s="30">
        <v>1</v>
      </c>
      <c r="BF35" s="107">
        <v>0.875</v>
      </c>
      <c r="BG35" s="108" t="s">
        <v>68</v>
      </c>
      <c r="BH35" s="74">
        <v>100</v>
      </c>
      <c r="BI35" s="30">
        <v>100</v>
      </c>
      <c r="BJ35" s="30">
        <v>508.75</v>
      </c>
      <c r="BK35" s="30">
        <v>673.91666666666663</v>
      </c>
      <c r="BL35" s="30">
        <v>100</v>
      </c>
      <c r="BM35" s="30">
        <v>100</v>
      </c>
      <c r="BN35" s="30">
        <v>508.33333333333331</v>
      </c>
      <c r="BO35" s="30">
        <v>712.5</v>
      </c>
      <c r="BP35" s="30">
        <v>100</v>
      </c>
      <c r="BQ35" s="30">
        <v>100</v>
      </c>
      <c r="BR35" s="30">
        <v>508.54166666666663</v>
      </c>
      <c r="BS35" s="30">
        <v>693.20833333333326</v>
      </c>
      <c r="BT35" s="30">
        <v>63.89187821193913</v>
      </c>
      <c r="BU35" s="107">
        <v>155.85583616492099</v>
      </c>
      <c r="CJ35" s="247" t="s">
        <v>296</v>
      </c>
      <c r="CK35" s="247" t="s">
        <v>296</v>
      </c>
      <c r="CM35" s="247" t="s">
        <v>296</v>
      </c>
      <c r="CO35" s="311" t="s">
        <v>297</v>
      </c>
      <c r="CP35" s="320" t="s">
        <v>537</v>
      </c>
      <c r="CQ35" s="311" t="s">
        <v>297</v>
      </c>
      <c r="CR35" s="320" t="s">
        <v>540</v>
      </c>
      <c r="CS35" s="311" t="s">
        <v>297</v>
      </c>
      <c r="CT35" s="320" t="s">
        <v>409</v>
      </c>
      <c r="CU35" s="247" t="s">
        <v>296</v>
      </c>
      <c r="CW35" s="247" t="s">
        <v>296</v>
      </c>
      <c r="CY35" s="247" t="s">
        <v>296</v>
      </c>
      <c r="DE35" s="390">
        <v>78</v>
      </c>
      <c r="DF35" s="352">
        <v>41877</v>
      </c>
      <c r="DG35" s="586">
        <v>86</v>
      </c>
      <c r="DH35" s="414">
        <v>42487</v>
      </c>
      <c r="DI35" s="675">
        <v>41877</v>
      </c>
      <c r="DJ35" s="666">
        <v>16</v>
      </c>
      <c r="DK35" s="675">
        <v>42486</v>
      </c>
      <c r="DL35" s="666">
        <v>18</v>
      </c>
      <c r="DM35" s="382">
        <v>25</v>
      </c>
      <c r="DN35" s="378">
        <v>20.75</v>
      </c>
      <c r="DO35" s="378">
        <v>23.333333333333002</v>
      </c>
      <c r="DP35" s="382">
        <v>284</v>
      </c>
      <c r="DQ35" s="382">
        <v>984</v>
      </c>
      <c r="DR35" s="231" t="s">
        <v>655</v>
      </c>
      <c r="DS35" s="231"/>
      <c r="DT35" s="231"/>
    </row>
    <row r="36" spans="1:124" x14ac:dyDescent="0.2">
      <c r="A36" s="216">
        <v>54.34</v>
      </c>
      <c r="B36" s="595" t="s">
        <v>495</v>
      </c>
      <c r="C36" s="595" t="s">
        <v>297</v>
      </c>
      <c r="D36" s="158" t="s">
        <v>297</v>
      </c>
      <c r="E36" s="605" t="s">
        <v>297</v>
      </c>
      <c r="F36" s="22">
        <v>1</v>
      </c>
      <c r="G36" s="5">
        <v>2</v>
      </c>
      <c r="H36" s="152">
        <v>32594</v>
      </c>
      <c r="I36" s="152">
        <v>41782</v>
      </c>
      <c r="J36" s="152"/>
      <c r="K36" s="109"/>
      <c r="L36" s="109"/>
      <c r="M36" s="101">
        <v>25.2</v>
      </c>
      <c r="N36" s="576"/>
      <c r="O36" s="90">
        <v>100</v>
      </c>
      <c r="P36" s="16">
        <v>5</v>
      </c>
      <c r="R36" s="16">
        <v>13</v>
      </c>
      <c r="T36" s="16">
        <v>9</v>
      </c>
      <c r="V36" s="16">
        <v>4</v>
      </c>
      <c r="X36" s="16">
        <v>100.84</v>
      </c>
      <c r="Z36" s="484">
        <v>11</v>
      </c>
      <c r="AB36">
        <f>(1*60)+29</f>
        <v>89</v>
      </c>
      <c r="AD36" s="644">
        <f>(2*60)+21</f>
        <v>141</v>
      </c>
      <c r="AF36" s="508">
        <v>52</v>
      </c>
      <c r="AG36" s="508"/>
      <c r="AH36" s="30">
        <v>1.5842696629213484</v>
      </c>
      <c r="AJ36" s="16">
        <v>5</v>
      </c>
      <c r="AL36" s="16">
        <v>59</v>
      </c>
      <c r="AN36" s="91">
        <v>525.80999999999995</v>
      </c>
      <c r="AO36" s="91">
        <v>15.38</v>
      </c>
      <c r="AP36" s="91">
        <v>15.57</v>
      </c>
      <c r="AT36" s="5" t="s">
        <v>143</v>
      </c>
      <c r="AU36" s="16">
        <v>64</v>
      </c>
      <c r="AV36" s="16">
        <v>0</v>
      </c>
      <c r="AW36" s="16">
        <v>0</v>
      </c>
      <c r="AX36" s="16">
        <v>0</v>
      </c>
      <c r="AY36" s="74">
        <v>100</v>
      </c>
      <c r="BA36" s="30">
        <v>0</v>
      </c>
      <c r="BC36" s="90">
        <v>48</v>
      </c>
      <c r="BE36" s="30">
        <v>0.5</v>
      </c>
      <c r="BG36" s="108" t="s">
        <v>67</v>
      </c>
      <c r="BH36" s="74">
        <v>100</v>
      </c>
      <c r="BI36" s="30">
        <v>90.476190476190482</v>
      </c>
      <c r="BJ36" s="30">
        <v>802</v>
      </c>
      <c r="BK36" s="30">
        <v>791.25</v>
      </c>
      <c r="BL36" s="30">
        <v>100</v>
      </c>
      <c r="BM36" s="30">
        <v>100</v>
      </c>
      <c r="BN36" s="30">
        <v>825.91666666666663</v>
      </c>
      <c r="BO36" s="30">
        <v>937.83333333333337</v>
      </c>
      <c r="BP36" s="30">
        <v>100</v>
      </c>
      <c r="BQ36" s="30">
        <v>95.238095238095241</v>
      </c>
      <c r="BR36" s="30">
        <v>813.95833333333326</v>
      </c>
      <c r="BS36" s="30">
        <v>864.54166666666674</v>
      </c>
      <c r="BT36" s="30">
        <v>115.49307495395067</v>
      </c>
      <c r="BU36" s="107">
        <v>166.6629761496163</v>
      </c>
      <c r="CJ36" s="311" t="s">
        <v>297</v>
      </c>
      <c r="CK36" s="247" t="s">
        <v>296</v>
      </c>
      <c r="CM36" s="311" t="s">
        <v>297</v>
      </c>
      <c r="CN36" s="311">
        <v>58</v>
      </c>
      <c r="CO36" s="247" t="s">
        <v>296</v>
      </c>
      <c r="CQ36" s="311" t="s">
        <v>297</v>
      </c>
      <c r="CR36" s="320" t="s">
        <v>541</v>
      </c>
      <c r="CS36" s="311" t="s">
        <v>297</v>
      </c>
      <c r="CT36" s="320" t="s">
        <v>526</v>
      </c>
      <c r="CU36" s="311" t="s">
        <v>297</v>
      </c>
      <c r="CV36" s="311">
        <v>72</v>
      </c>
      <c r="CW36" s="247" t="s">
        <v>296</v>
      </c>
      <c r="CY36" s="247" t="s">
        <v>296</v>
      </c>
      <c r="DE36" s="391">
        <v>90.5</v>
      </c>
      <c r="DF36" s="372">
        <v>41781</v>
      </c>
      <c r="DG36" s="416"/>
      <c r="DH36" s="663"/>
      <c r="DI36" s="675">
        <v>41781</v>
      </c>
      <c r="DJ36" s="666">
        <v>19</v>
      </c>
      <c r="DK36" s="667"/>
      <c r="DL36" s="668"/>
      <c r="DM36" s="665">
        <v>13</v>
      </c>
      <c r="DN36" s="377">
        <v>12.166666666666666</v>
      </c>
      <c r="DO36" s="377"/>
      <c r="DP36" s="381">
        <v>538</v>
      </c>
      <c r="DQ36" s="381">
        <v>538</v>
      </c>
      <c r="DR36" s="231" t="s">
        <v>821</v>
      </c>
      <c r="DS36" s="231"/>
      <c r="DT36" s="231"/>
    </row>
    <row r="37" spans="1:124" x14ac:dyDescent="0.2">
      <c r="A37" s="216">
        <v>54.35</v>
      </c>
      <c r="B37" s="595" t="s">
        <v>503</v>
      </c>
      <c r="C37" s="595" t="s">
        <v>297</v>
      </c>
      <c r="D37" s="158" t="s">
        <v>296</v>
      </c>
      <c r="E37" s="605" t="s">
        <v>297</v>
      </c>
      <c r="F37" s="22">
        <v>1</v>
      </c>
      <c r="G37" s="5">
        <v>1</v>
      </c>
      <c r="H37" s="152">
        <v>19769</v>
      </c>
      <c r="I37" s="152">
        <v>41789</v>
      </c>
      <c r="J37" s="152">
        <v>42531</v>
      </c>
      <c r="K37" s="109">
        <f t="shared" si="0"/>
        <v>2.032876712328767</v>
      </c>
      <c r="L37" s="109">
        <f t="shared" si="1"/>
        <v>24.394520547945206</v>
      </c>
      <c r="M37" s="101">
        <v>49.5</v>
      </c>
      <c r="N37" s="576">
        <v>51.6</v>
      </c>
      <c r="O37" s="90">
        <v>100</v>
      </c>
      <c r="P37" s="16">
        <v>2</v>
      </c>
      <c r="Q37" s="22">
        <v>0</v>
      </c>
      <c r="R37" s="16">
        <v>24</v>
      </c>
      <c r="S37" s="22">
        <v>25</v>
      </c>
      <c r="T37" s="16">
        <v>14</v>
      </c>
      <c r="U37" s="22">
        <v>14</v>
      </c>
      <c r="V37" s="16">
        <v>10</v>
      </c>
      <c r="W37" s="22">
        <v>11</v>
      </c>
      <c r="X37" s="16">
        <v>123.16</v>
      </c>
      <c r="Y37" s="16">
        <v>121.91999999999999</v>
      </c>
      <c r="Z37" s="484">
        <v>16</v>
      </c>
      <c r="AA37" s="22">
        <v>16</v>
      </c>
      <c r="AB37">
        <f>(0*60)+40</f>
        <v>40</v>
      </c>
      <c r="AC37" s="508">
        <v>50</v>
      </c>
      <c r="AD37" s="644">
        <f>(1*60)+11</f>
        <v>71</v>
      </c>
      <c r="AE37" s="508">
        <v>64</v>
      </c>
      <c r="AF37" s="508">
        <v>31</v>
      </c>
      <c r="AG37" s="508">
        <v>14</v>
      </c>
      <c r="AH37" s="30">
        <v>1.7749999999999999</v>
      </c>
      <c r="AI37" s="30">
        <v>1.28</v>
      </c>
      <c r="AJ37" s="16">
        <v>7</v>
      </c>
      <c r="AK37" s="508">
        <v>6</v>
      </c>
      <c r="AL37" s="16">
        <v>64</v>
      </c>
      <c r="AM37" s="91">
        <v>61</v>
      </c>
      <c r="AN37" s="91">
        <v>355.2</v>
      </c>
      <c r="AO37" s="91">
        <v>14.94</v>
      </c>
      <c r="AP37" s="91">
        <v>18.38</v>
      </c>
      <c r="AQ37" s="107">
        <v>462.87997929606627</v>
      </c>
      <c r="AR37" s="107">
        <v>11.554422202586206</v>
      </c>
      <c r="AS37" s="107">
        <v>15.578876306616896</v>
      </c>
      <c r="AT37" s="5" t="s">
        <v>134</v>
      </c>
      <c r="AU37" s="16">
        <v>64</v>
      </c>
      <c r="AV37" s="16">
        <v>0</v>
      </c>
      <c r="AW37" s="16">
        <v>0</v>
      </c>
      <c r="AX37" s="16">
        <v>0</v>
      </c>
      <c r="AY37" s="74">
        <v>100</v>
      </c>
      <c r="AZ37" s="30">
        <v>100</v>
      </c>
      <c r="BA37" s="30">
        <v>0</v>
      </c>
      <c r="BB37" s="30">
        <v>0</v>
      </c>
      <c r="BC37" s="90">
        <v>57</v>
      </c>
      <c r="BD37" s="508">
        <v>62</v>
      </c>
      <c r="BE37" s="30">
        <v>0.59375</v>
      </c>
      <c r="BF37" s="107">
        <v>0.65</v>
      </c>
      <c r="BG37" s="108" t="s">
        <v>67</v>
      </c>
      <c r="BH37" s="74">
        <v>100</v>
      </c>
      <c r="BI37" s="30">
        <v>100</v>
      </c>
      <c r="BJ37" s="30">
        <v>542.41666666666663</v>
      </c>
      <c r="BK37" s="30">
        <v>560.08333333333337</v>
      </c>
      <c r="BL37" s="30">
        <v>100</v>
      </c>
      <c r="BM37" s="30">
        <v>100</v>
      </c>
      <c r="BN37" s="30">
        <v>534.16666666666663</v>
      </c>
      <c r="BO37" s="30">
        <v>549.91666666666663</v>
      </c>
      <c r="BP37" s="30">
        <v>100</v>
      </c>
      <c r="BQ37" s="30">
        <v>100</v>
      </c>
      <c r="BR37" s="30">
        <v>538.29166666666663</v>
      </c>
      <c r="BS37" s="30">
        <v>555</v>
      </c>
      <c r="BT37" s="30">
        <v>51.165102888816591</v>
      </c>
      <c r="BU37" s="107">
        <v>89.180325379438983</v>
      </c>
      <c r="BV37" s="193">
        <v>100</v>
      </c>
      <c r="BW37" s="193">
        <v>100</v>
      </c>
      <c r="BX37" s="193">
        <v>501.58333333333331</v>
      </c>
      <c r="BY37" s="193">
        <v>567.08333333333337</v>
      </c>
      <c r="BZ37" s="193">
        <v>100</v>
      </c>
      <c r="CA37" s="193">
        <v>100</v>
      </c>
      <c r="CB37" s="193">
        <v>511.16666666666669</v>
      </c>
      <c r="CC37" s="193">
        <v>493.83333333333331</v>
      </c>
      <c r="CD37" s="193">
        <v>100</v>
      </c>
      <c r="CE37" s="193">
        <v>100</v>
      </c>
      <c r="CF37" s="193">
        <v>506.375</v>
      </c>
      <c r="CG37" s="193">
        <v>530.45833333333337</v>
      </c>
      <c r="CH37" s="193">
        <v>57.103881311777442</v>
      </c>
      <c r="CI37" s="107">
        <v>67.825850635968735</v>
      </c>
      <c r="CJ37" s="419" t="s">
        <v>296</v>
      </c>
      <c r="CK37" s="247" t="s">
        <v>296</v>
      </c>
      <c r="CM37" s="311" t="s">
        <v>297</v>
      </c>
      <c r="CN37" s="311" t="s">
        <v>532</v>
      </c>
      <c r="CO37" s="247" t="s">
        <v>296</v>
      </c>
      <c r="CQ37" s="311" t="s">
        <v>297</v>
      </c>
      <c r="CR37" s="320" t="s">
        <v>542</v>
      </c>
      <c r="CS37" s="311" t="s">
        <v>297</v>
      </c>
      <c r="CT37" s="320" t="s">
        <v>408</v>
      </c>
      <c r="CU37" s="311" t="s">
        <v>297</v>
      </c>
      <c r="CV37" s="311" t="s">
        <v>432</v>
      </c>
      <c r="CW37" s="247" t="s">
        <v>296</v>
      </c>
      <c r="CY37" s="311" t="s">
        <v>297</v>
      </c>
      <c r="CZ37" s="311" t="s">
        <v>589</v>
      </c>
      <c r="DE37" s="417">
        <v>66</v>
      </c>
      <c r="DF37" s="418">
        <v>41788</v>
      </c>
      <c r="DG37" s="588">
        <v>70.5</v>
      </c>
      <c r="DH37" s="655">
        <v>42165</v>
      </c>
      <c r="DI37" s="675">
        <v>41788</v>
      </c>
      <c r="DJ37" s="666">
        <v>20</v>
      </c>
      <c r="DK37" s="667" t="s">
        <v>837</v>
      </c>
      <c r="DL37" s="668"/>
      <c r="DM37" s="382">
        <v>30</v>
      </c>
      <c r="DN37" s="378">
        <v>19.5</v>
      </c>
      <c r="DO37" s="378">
        <v>21.583333333333002</v>
      </c>
      <c r="DP37" s="382">
        <v>323</v>
      </c>
      <c r="DQ37" s="382">
        <v>1046</v>
      </c>
      <c r="DR37" s="231" t="s">
        <v>817</v>
      </c>
      <c r="DS37" s="231"/>
      <c r="DT37" s="231"/>
    </row>
    <row r="38" spans="1:124" x14ac:dyDescent="0.2">
      <c r="A38" s="216">
        <v>54.36</v>
      </c>
      <c r="B38" s="595" t="s">
        <v>506</v>
      </c>
      <c r="C38" s="595" t="s">
        <v>297</v>
      </c>
      <c r="D38" s="158" t="s">
        <v>297</v>
      </c>
      <c r="E38" s="605" t="s">
        <v>297</v>
      </c>
      <c r="F38" s="22">
        <v>1</v>
      </c>
      <c r="G38" s="5">
        <v>1</v>
      </c>
      <c r="H38" s="152">
        <v>21763</v>
      </c>
      <c r="I38" s="152">
        <v>41796</v>
      </c>
      <c r="J38" s="152">
        <v>42545</v>
      </c>
      <c r="K38" s="109">
        <f t="shared" si="0"/>
        <v>2.0520547945205481</v>
      </c>
      <c r="L38" s="109">
        <f t="shared" si="1"/>
        <v>24.624657534246577</v>
      </c>
      <c r="M38" s="101">
        <v>54.8</v>
      </c>
      <c r="N38" s="576">
        <v>56.8</v>
      </c>
      <c r="O38" s="90">
        <v>100</v>
      </c>
      <c r="P38" s="16">
        <v>0</v>
      </c>
      <c r="Q38" s="22">
        <v>0</v>
      </c>
      <c r="R38" s="16">
        <v>19</v>
      </c>
      <c r="S38" s="22">
        <v>19</v>
      </c>
      <c r="T38" s="16">
        <v>11</v>
      </c>
      <c r="U38" s="22">
        <v>11</v>
      </c>
      <c r="V38" s="16">
        <v>8</v>
      </c>
      <c r="W38" s="22">
        <v>8</v>
      </c>
      <c r="X38" s="16">
        <v>121.91999999999999</v>
      </c>
      <c r="Y38" s="16">
        <v>123.16</v>
      </c>
      <c r="Z38" s="484">
        <v>17</v>
      </c>
      <c r="AA38" s="22">
        <v>19</v>
      </c>
      <c r="AB38">
        <f>(0*60)+43</f>
        <v>43</v>
      </c>
      <c r="AC38" s="508">
        <v>41</v>
      </c>
      <c r="AD38" s="644">
        <f>(1*60)+20</f>
        <v>80</v>
      </c>
      <c r="AE38" s="508">
        <v>90</v>
      </c>
      <c r="AF38" s="508">
        <v>37</v>
      </c>
      <c r="AG38" s="508">
        <v>49</v>
      </c>
      <c r="AH38" s="30">
        <v>1.8604651162790697</v>
      </c>
      <c r="AI38" s="30">
        <v>2.2000000000000002</v>
      </c>
      <c r="AJ38" s="16">
        <v>7</v>
      </c>
      <c r="AK38" s="508">
        <v>7</v>
      </c>
      <c r="AL38" s="16">
        <v>54</v>
      </c>
      <c r="AM38" s="91">
        <v>61</v>
      </c>
      <c r="AN38" s="91">
        <v>471.68</v>
      </c>
      <c r="AO38" s="91">
        <v>12.38</v>
      </c>
      <c r="AP38" s="91">
        <v>18.600000000000001</v>
      </c>
      <c r="AQ38" s="107">
        <v>478.36666666666662</v>
      </c>
      <c r="AR38" s="107">
        <v>12.186241329011578</v>
      </c>
      <c r="AS38" s="107">
        <v>14.311437057729739</v>
      </c>
      <c r="AT38" s="5" t="s">
        <v>143</v>
      </c>
      <c r="AU38" s="16">
        <v>60</v>
      </c>
      <c r="AV38" s="16">
        <v>2</v>
      </c>
      <c r="AW38" s="16">
        <v>2</v>
      </c>
      <c r="AX38" s="16">
        <v>4</v>
      </c>
      <c r="AY38" s="74">
        <v>93.75</v>
      </c>
      <c r="AZ38" s="30">
        <v>95.3125</v>
      </c>
      <c r="BA38" s="30">
        <v>6.25</v>
      </c>
      <c r="BB38" s="30">
        <v>4.6875</v>
      </c>
      <c r="BC38" s="90">
        <v>66</v>
      </c>
      <c r="BD38" s="508">
        <v>90</v>
      </c>
      <c r="BE38" s="30">
        <v>0.6875</v>
      </c>
      <c r="BF38" s="107">
        <v>0.9375</v>
      </c>
      <c r="BG38" s="108" t="s">
        <v>68</v>
      </c>
      <c r="BH38" s="74">
        <v>100</v>
      </c>
      <c r="BI38" s="30">
        <v>100</v>
      </c>
      <c r="BJ38" s="30">
        <v>626.16666666666663</v>
      </c>
      <c r="BK38" s="30">
        <v>761.16666666666663</v>
      </c>
      <c r="BL38" s="30">
        <v>90.476190476190482</v>
      </c>
      <c r="BM38" s="30">
        <v>100</v>
      </c>
      <c r="BN38" s="30">
        <v>920.75</v>
      </c>
      <c r="BO38" s="30">
        <v>798.41666666666663</v>
      </c>
      <c r="BP38" s="30">
        <v>95.238095238095241</v>
      </c>
      <c r="BQ38" s="30">
        <v>100</v>
      </c>
      <c r="BR38" s="30">
        <v>773.45833333333326</v>
      </c>
      <c r="BS38" s="30">
        <v>779.79166666666663</v>
      </c>
      <c r="BT38" s="30">
        <v>273.50204463779176</v>
      </c>
      <c r="BU38" s="107">
        <v>240.478323919979</v>
      </c>
      <c r="BV38" s="193">
        <v>100</v>
      </c>
      <c r="BW38" s="193">
        <v>100</v>
      </c>
      <c r="BX38" s="193">
        <v>527</v>
      </c>
      <c r="BY38" s="193">
        <v>801.66666666666663</v>
      </c>
      <c r="BZ38" s="193">
        <v>100</v>
      </c>
      <c r="CA38" s="193">
        <v>97.619047619047635</v>
      </c>
      <c r="CB38" s="193">
        <v>586.33333333333337</v>
      </c>
      <c r="CC38" s="193">
        <v>775.75</v>
      </c>
      <c r="CD38" s="193">
        <v>100</v>
      </c>
      <c r="CE38" s="193">
        <v>98.809523809523824</v>
      </c>
      <c r="CF38" s="193">
        <v>556.66666666666674</v>
      </c>
      <c r="CG38" s="193">
        <v>788.70833333333326</v>
      </c>
      <c r="CH38" s="193">
        <v>102.31565253480611</v>
      </c>
      <c r="CI38" s="107">
        <v>331.87372096426481</v>
      </c>
      <c r="CJ38" s="311" t="s">
        <v>297</v>
      </c>
      <c r="CK38" s="247" t="s">
        <v>296</v>
      </c>
      <c r="CM38" s="311" t="s">
        <v>297</v>
      </c>
      <c r="CN38" s="311" t="s">
        <v>533</v>
      </c>
      <c r="CO38" s="247" t="s">
        <v>296</v>
      </c>
      <c r="CQ38" s="311" t="s">
        <v>297</v>
      </c>
      <c r="CR38" s="320" t="s">
        <v>543</v>
      </c>
      <c r="CS38" s="311" t="s">
        <v>297</v>
      </c>
      <c r="CT38" s="320" t="s">
        <v>556</v>
      </c>
      <c r="CU38" s="311" t="s">
        <v>297</v>
      </c>
      <c r="CV38" s="311" t="s">
        <v>578</v>
      </c>
      <c r="CW38" s="247" t="s">
        <v>296</v>
      </c>
      <c r="CY38" s="311" t="s">
        <v>297</v>
      </c>
      <c r="CZ38" s="311" t="s">
        <v>590</v>
      </c>
      <c r="DE38" s="390">
        <v>71.5</v>
      </c>
      <c r="DF38" s="352">
        <v>41795</v>
      </c>
      <c r="DG38" s="586">
        <v>101.5</v>
      </c>
      <c r="DH38" s="414">
        <v>42545</v>
      </c>
      <c r="DI38" s="675">
        <v>41795</v>
      </c>
      <c r="DJ38" s="666">
        <v>16.5</v>
      </c>
      <c r="DK38" s="667" t="s">
        <v>837</v>
      </c>
      <c r="DL38" s="668"/>
      <c r="DM38" s="382">
        <v>34</v>
      </c>
      <c r="DN38" s="378">
        <v>20.83</v>
      </c>
      <c r="DO38" s="378">
        <v>22.83</v>
      </c>
      <c r="DP38" s="382">
        <v>126</v>
      </c>
      <c r="DQ38" s="382">
        <v>924</v>
      </c>
      <c r="DR38" s="22" t="s">
        <v>818</v>
      </c>
      <c r="DS38" s="22"/>
      <c r="DT38" s="22"/>
    </row>
    <row r="39" spans="1:124" x14ac:dyDescent="0.2">
      <c r="A39" s="216">
        <v>54.37</v>
      </c>
      <c r="B39" s="595" t="s">
        <v>518</v>
      </c>
      <c r="C39" s="595" t="s">
        <v>297</v>
      </c>
      <c r="D39" s="158" t="s">
        <v>297</v>
      </c>
      <c r="E39" s="605" t="s">
        <v>297</v>
      </c>
      <c r="F39" s="22">
        <v>1</v>
      </c>
      <c r="G39" s="5">
        <v>2</v>
      </c>
      <c r="H39" s="152">
        <v>35173</v>
      </c>
      <c r="I39" s="152">
        <v>41803</v>
      </c>
      <c r="J39" s="152">
        <v>42538</v>
      </c>
      <c r="K39" s="109">
        <f t="shared" si="0"/>
        <v>2.0136986301369864</v>
      </c>
      <c r="L39" s="109">
        <f t="shared" si="1"/>
        <v>24.164383561643838</v>
      </c>
      <c r="M39" s="101">
        <v>18.2</v>
      </c>
      <c r="N39" s="576">
        <v>20.2</v>
      </c>
      <c r="O39" s="90">
        <v>100</v>
      </c>
      <c r="P39" s="16">
        <v>11</v>
      </c>
      <c r="Q39" s="22">
        <v>18</v>
      </c>
      <c r="R39" s="16">
        <v>14</v>
      </c>
      <c r="S39" s="22">
        <v>19</v>
      </c>
      <c r="T39" s="16">
        <v>8</v>
      </c>
      <c r="U39" s="22">
        <v>11</v>
      </c>
      <c r="V39" s="16">
        <v>6</v>
      </c>
      <c r="W39" s="22">
        <v>8</v>
      </c>
      <c r="X39" s="16">
        <v>107.03999999999999</v>
      </c>
      <c r="Y39" s="16">
        <v>103.32</v>
      </c>
      <c r="Z39" s="484">
        <v>12</v>
      </c>
      <c r="AA39" s="22">
        <v>14</v>
      </c>
      <c r="AB39">
        <f>(0*60)+44</f>
        <v>44</v>
      </c>
      <c r="AC39" s="508">
        <v>61</v>
      </c>
      <c r="AD39" s="644">
        <f>(1*60)+26</f>
        <v>86</v>
      </c>
      <c r="AE39" s="508">
        <v>91</v>
      </c>
      <c r="AF39" s="508">
        <v>42</v>
      </c>
      <c r="AG39" s="508">
        <v>30</v>
      </c>
      <c r="AH39" s="30">
        <v>1.9545454545454546</v>
      </c>
      <c r="AI39" s="30">
        <v>1.49</v>
      </c>
      <c r="AJ39" s="16">
        <v>6</v>
      </c>
      <c r="AK39" s="508">
        <v>6</v>
      </c>
      <c r="AL39" s="16">
        <v>59</v>
      </c>
      <c r="AM39" s="91">
        <v>55</v>
      </c>
      <c r="AN39" s="91">
        <v>490.39</v>
      </c>
      <c r="AO39" s="91">
        <v>16.55</v>
      </c>
      <c r="AP39" s="91">
        <v>12.6</v>
      </c>
      <c r="AQ39" s="107">
        <v>422.9082674571805</v>
      </c>
      <c r="AR39" s="107">
        <v>14.823143484053356</v>
      </c>
      <c r="AS39" s="107">
        <v>14.350479438915333</v>
      </c>
      <c r="AT39" s="5" t="s">
        <v>134</v>
      </c>
      <c r="AU39" s="16">
        <v>64</v>
      </c>
      <c r="AV39" s="16">
        <v>0</v>
      </c>
      <c r="AW39" s="16">
        <v>0</v>
      </c>
      <c r="AX39" s="16">
        <v>0</v>
      </c>
      <c r="AY39" s="74">
        <v>100</v>
      </c>
      <c r="AZ39" s="30">
        <v>98.4375</v>
      </c>
      <c r="BA39" s="30">
        <v>0</v>
      </c>
      <c r="BB39" s="30">
        <v>1.56</v>
      </c>
      <c r="BC39" s="90">
        <v>60</v>
      </c>
      <c r="BD39" s="508">
        <v>80</v>
      </c>
      <c r="BE39" s="30">
        <v>0.625</v>
      </c>
      <c r="BF39" s="107">
        <v>0.83333333333333337</v>
      </c>
      <c r="BG39" s="108" t="s">
        <v>68</v>
      </c>
      <c r="BH39" s="74">
        <v>100</v>
      </c>
      <c r="BI39" s="30">
        <v>97.619047619047635</v>
      </c>
      <c r="BJ39" s="30">
        <v>567.66666666666663</v>
      </c>
      <c r="BK39" s="30">
        <v>471.33333333333331</v>
      </c>
      <c r="BL39" s="30">
        <v>100</v>
      </c>
      <c r="BM39" s="30">
        <v>97.619047619047635</v>
      </c>
      <c r="BN39" s="30">
        <v>649.66666666666663</v>
      </c>
      <c r="BO39" s="30">
        <v>550.91666666666663</v>
      </c>
      <c r="BP39" s="30">
        <v>100</v>
      </c>
      <c r="BQ39" s="30">
        <v>97.619047619047635</v>
      </c>
      <c r="BR39" s="30">
        <v>608.66666666666663</v>
      </c>
      <c r="BS39" s="30">
        <v>511.125</v>
      </c>
      <c r="BT39" s="30">
        <v>102.40739896276473</v>
      </c>
      <c r="BU39" s="107">
        <v>151.50783645055739</v>
      </c>
      <c r="BV39" s="193">
        <v>100</v>
      </c>
      <c r="BW39" s="193">
        <v>100</v>
      </c>
      <c r="BX39" s="193">
        <v>589.58333333333337</v>
      </c>
      <c r="BY39" s="193">
        <v>502.5</v>
      </c>
      <c r="BZ39" s="193">
        <v>97.619047619047635</v>
      </c>
      <c r="CA39" s="193">
        <v>100</v>
      </c>
      <c r="CB39" s="193">
        <v>615.5</v>
      </c>
      <c r="CC39" s="193">
        <v>636.66666666666663</v>
      </c>
      <c r="CD39" s="193">
        <v>98.809523809523824</v>
      </c>
      <c r="CE39" s="193">
        <v>100</v>
      </c>
      <c r="CF39" s="193">
        <v>602.54166666666674</v>
      </c>
      <c r="CG39" s="193">
        <v>569.58333333333326</v>
      </c>
      <c r="CH39" s="193">
        <v>95.162094740302692</v>
      </c>
      <c r="CI39" s="107">
        <v>178.56649392767719</v>
      </c>
      <c r="CJ39" s="247" t="s">
        <v>296</v>
      </c>
      <c r="CK39" s="311" t="s">
        <v>297</v>
      </c>
      <c r="CL39" s="320" t="s">
        <v>528</v>
      </c>
      <c r="CM39" s="311" t="s">
        <v>297</v>
      </c>
      <c r="CN39" s="320" t="s">
        <v>534</v>
      </c>
      <c r="CO39" s="247" t="s">
        <v>296</v>
      </c>
      <c r="CQ39" s="247" t="s">
        <v>296</v>
      </c>
      <c r="CR39" s="323"/>
      <c r="CS39" s="247" t="s">
        <v>296</v>
      </c>
      <c r="CU39" s="247" t="s">
        <v>296</v>
      </c>
      <c r="CW39" s="247" t="s">
        <v>296</v>
      </c>
      <c r="CY39" s="247" t="s">
        <v>296</v>
      </c>
      <c r="DE39" s="357">
        <v>41</v>
      </c>
      <c r="DF39" s="352">
        <v>41806</v>
      </c>
      <c r="DG39" s="586">
        <v>41.3</v>
      </c>
      <c r="DH39" s="414">
        <v>42538</v>
      </c>
      <c r="DI39" s="675">
        <v>41806</v>
      </c>
      <c r="DJ39" s="666">
        <v>6.5</v>
      </c>
      <c r="DK39" s="675">
        <v>42538</v>
      </c>
      <c r="DL39" s="666">
        <v>8.5</v>
      </c>
      <c r="DM39" s="378">
        <v>12</v>
      </c>
      <c r="DN39" s="378">
        <v>6.17</v>
      </c>
      <c r="DO39" s="378">
        <v>7.17</v>
      </c>
      <c r="DP39" s="378">
        <v>685</v>
      </c>
      <c r="DQ39" s="378">
        <v>1064</v>
      </c>
      <c r="DR39" s="22" t="s">
        <v>819</v>
      </c>
      <c r="DS39" s="22"/>
      <c r="DT39" s="22"/>
    </row>
    <row r="40" spans="1:124" x14ac:dyDescent="0.2">
      <c r="A40" s="216">
        <v>54.38</v>
      </c>
      <c r="B40" s="595" t="s">
        <v>603</v>
      </c>
      <c r="C40" s="595" t="s">
        <v>297</v>
      </c>
      <c r="D40" s="158" t="s">
        <v>297</v>
      </c>
      <c r="E40" s="605" t="s">
        <v>297</v>
      </c>
      <c r="F40" s="22">
        <v>1</v>
      </c>
      <c r="G40" s="5">
        <v>1</v>
      </c>
      <c r="H40" s="152">
        <v>24701</v>
      </c>
      <c r="I40" s="152">
        <v>41859</v>
      </c>
      <c r="J40" s="152">
        <v>42524</v>
      </c>
      <c r="K40" s="109">
        <f t="shared" si="0"/>
        <v>1.821917808219178</v>
      </c>
      <c r="L40" s="109">
        <f t="shared" si="1"/>
        <v>21.863013698630137</v>
      </c>
      <c r="M40" s="101">
        <v>47</v>
      </c>
      <c r="N40" s="576">
        <v>48.8</v>
      </c>
      <c r="O40" s="90">
        <v>100</v>
      </c>
      <c r="P40" s="16">
        <v>6</v>
      </c>
      <c r="Q40" s="16">
        <v>0</v>
      </c>
      <c r="R40" s="16">
        <v>15</v>
      </c>
      <c r="S40" s="22">
        <v>12</v>
      </c>
      <c r="T40" s="16">
        <v>9</v>
      </c>
      <c r="U40" s="22">
        <v>8</v>
      </c>
      <c r="V40" s="16">
        <v>6</v>
      </c>
      <c r="W40" s="22">
        <v>4</v>
      </c>
      <c r="X40" s="16">
        <v>104.56</v>
      </c>
      <c r="Y40" s="16">
        <v>105.8</v>
      </c>
      <c r="Z40" s="484">
        <v>12</v>
      </c>
      <c r="AA40" s="22">
        <v>12</v>
      </c>
      <c r="AB40">
        <f>(0*60)+34</f>
        <v>34</v>
      </c>
      <c r="AC40" s="508">
        <v>35</v>
      </c>
      <c r="AD40" s="644">
        <f>(1*60)+10</f>
        <v>70</v>
      </c>
      <c r="AE40" s="508">
        <v>80</v>
      </c>
      <c r="AF40" s="508">
        <v>36</v>
      </c>
      <c r="AG40" s="508">
        <v>45</v>
      </c>
      <c r="AH40" s="30">
        <v>2.0588235294117645</v>
      </c>
      <c r="AI40" s="30">
        <v>2.29</v>
      </c>
      <c r="AJ40" s="16">
        <v>7</v>
      </c>
      <c r="AK40" s="508">
        <v>5</v>
      </c>
      <c r="AL40" s="16">
        <v>53</v>
      </c>
      <c r="AM40" s="91">
        <v>58</v>
      </c>
      <c r="AN40" s="91">
        <v>242.99</v>
      </c>
      <c r="AO40" s="91">
        <v>11.14</v>
      </c>
      <c r="AP40" s="91">
        <v>24.64</v>
      </c>
      <c r="AQ40" s="107">
        <v>266.5213450292398</v>
      </c>
      <c r="AR40" s="107">
        <v>16.029501676265774</v>
      </c>
      <c r="AS40" s="107">
        <v>28.822772085122701</v>
      </c>
      <c r="AT40" s="5" t="s">
        <v>143</v>
      </c>
      <c r="AU40" s="16">
        <v>64</v>
      </c>
      <c r="AV40" s="16">
        <v>0</v>
      </c>
      <c r="AW40" s="16">
        <v>0</v>
      </c>
      <c r="AX40" s="16">
        <v>0</v>
      </c>
      <c r="AY40" s="74">
        <v>100</v>
      </c>
      <c r="AZ40" s="30">
        <v>98.44</v>
      </c>
      <c r="BA40" s="30">
        <v>0</v>
      </c>
      <c r="BB40" s="30">
        <v>1.56</v>
      </c>
      <c r="BC40" s="90">
        <v>79</v>
      </c>
      <c r="BD40" s="508">
        <v>79</v>
      </c>
      <c r="BE40" s="30">
        <v>0.82291666666666663</v>
      </c>
      <c r="BF40" s="107">
        <v>0.82291666666666663</v>
      </c>
      <c r="BG40" s="108" t="s">
        <v>67</v>
      </c>
      <c r="BH40" s="74">
        <v>100</v>
      </c>
      <c r="BI40" s="30">
        <v>97.619047619047635</v>
      </c>
      <c r="BJ40" s="30">
        <v>486.66666666666669</v>
      </c>
      <c r="BK40" s="30">
        <v>684.3888888888888</v>
      </c>
      <c r="BL40" s="30">
        <v>100</v>
      </c>
      <c r="BM40" s="30">
        <v>100</v>
      </c>
      <c r="BN40" s="30">
        <v>497.16666666666669</v>
      </c>
      <c r="BO40" s="30">
        <v>730.5</v>
      </c>
      <c r="BP40" s="30">
        <v>100</v>
      </c>
      <c r="BQ40" s="30">
        <v>98.809523809523824</v>
      </c>
      <c r="BR40" s="30">
        <v>491.91666666666669</v>
      </c>
      <c r="BS40" s="30">
        <v>707.44444444444434</v>
      </c>
      <c r="BT40" s="30">
        <v>65.541169714433835</v>
      </c>
      <c r="BU40" s="107">
        <v>235.28579039554282</v>
      </c>
      <c r="BV40" s="193">
        <v>100</v>
      </c>
      <c r="BW40" s="193">
        <v>97.619047619047635</v>
      </c>
      <c r="BX40" s="193">
        <v>489.08333333333331</v>
      </c>
      <c r="BY40" s="193">
        <v>610.25</v>
      </c>
      <c r="BZ40" s="193">
        <v>100</v>
      </c>
      <c r="CA40" s="193">
        <v>95.238095238095241</v>
      </c>
      <c r="CB40" s="193">
        <v>473.83333333333331</v>
      </c>
      <c r="CC40" s="193">
        <v>745</v>
      </c>
      <c r="CD40" s="193">
        <v>100</v>
      </c>
      <c r="CE40" s="193">
        <v>96.428571428571445</v>
      </c>
      <c r="CF40" s="193">
        <v>481.45833333333331</v>
      </c>
      <c r="CG40" s="193">
        <v>677.625</v>
      </c>
      <c r="CH40" s="193">
        <v>67.13385666074096</v>
      </c>
      <c r="CI40" s="107">
        <v>158.81626095297361</v>
      </c>
      <c r="DE40" s="357">
        <v>19</v>
      </c>
      <c r="DF40" s="352">
        <v>41760</v>
      </c>
      <c r="DG40" s="586">
        <v>30</v>
      </c>
      <c r="DH40" s="414">
        <v>42524</v>
      </c>
      <c r="DI40" s="675">
        <v>41760</v>
      </c>
      <c r="DJ40" s="666">
        <v>4.5</v>
      </c>
      <c r="DK40" s="675">
        <v>42514</v>
      </c>
      <c r="DL40" s="666">
        <v>7.5</v>
      </c>
      <c r="DM40" s="382">
        <v>39</v>
      </c>
      <c r="DN40" s="378">
        <v>7.75</v>
      </c>
      <c r="DO40" s="378">
        <v>9.75</v>
      </c>
      <c r="DP40" s="378">
        <v>410</v>
      </c>
      <c r="DQ40" s="382">
        <v>1088</v>
      </c>
      <c r="DR40" s="231" t="s">
        <v>820</v>
      </c>
      <c r="DS40" s="231"/>
      <c r="DT40" s="231"/>
    </row>
    <row r="41" spans="1:124" x14ac:dyDescent="0.2">
      <c r="DE41" s="409"/>
      <c r="DF41" s="374"/>
      <c r="DG41" s="404"/>
      <c r="DH41" s="653"/>
      <c r="DI41" s="373"/>
      <c r="DJ41" s="374"/>
      <c r="DK41" s="374"/>
      <c r="DL41" s="378"/>
      <c r="DM41" s="374"/>
      <c r="DN41" s="22"/>
      <c r="DO41" s="22"/>
      <c r="DP41" s="22"/>
    </row>
    <row r="42" spans="1:124" x14ac:dyDescent="0.2">
      <c r="DE42" s="410"/>
      <c r="DF42" s="411"/>
      <c r="DG42" s="585"/>
      <c r="DH42" s="393"/>
      <c r="DI42" s="412"/>
      <c r="DJ42" s="413"/>
      <c r="DK42" s="413"/>
      <c r="DL42" s="420"/>
      <c r="DM42" s="413"/>
    </row>
    <row r="43" spans="1:124" x14ac:dyDescent="0.2">
      <c r="DE43" s="410"/>
      <c r="DF43" s="411"/>
      <c r="DG43" s="585"/>
      <c r="DH43" s="393"/>
      <c r="DI43" s="412"/>
      <c r="DJ43" s="413"/>
      <c r="DK43" s="413"/>
      <c r="DL43" s="420"/>
      <c r="DM43" s="413"/>
    </row>
    <row r="44" spans="1:124" x14ac:dyDescent="0.2">
      <c r="DE44" s="410"/>
      <c r="DF44" s="411"/>
      <c r="DG44" s="585"/>
      <c r="DH44" s="393"/>
      <c r="DI44" s="412"/>
      <c r="DJ44" s="413"/>
      <c r="DK44" s="413"/>
      <c r="DL44" s="420"/>
      <c r="DM44" s="413"/>
    </row>
    <row r="45" spans="1:124" s="133" customFormat="1" x14ac:dyDescent="0.2">
      <c r="A45" s="71"/>
      <c r="B45" s="599"/>
      <c r="C45" s="599"/>
      <c r="D45" s="537"/>
      <c r="E45" s="602"/>
      <c r="G45" s="538"/>
      <c r="N45" s="573"/>
      <c r="O45" s="539"/>
      <c r="Z45" s="540"/>
      <c r="AB45" s="529"/>
      <c r="AC45" s="541"/>
      <c r="AD45" s="541"/>
      <c r="AE45" s="541"/>
      <c r="AF45" s="529"/>
      <c r="AG45" s="529"/>
      <c r="AH45" s="529"/>
      <c r="AI45" s="529"/>
      <c r="AK45" s="541"/>
      <c r="AM45" s="542"/>
      <c r="AN45" s="542"/>
      <c r="AO45" s="542"/>
      <c r="AP45" s="542"/>
      <c r="AQ45" s="267"/>
      <c r="AR45" s="267"/>
      <c r="AS45" s="267"/>
      <c r="AT45" s="538"/>
      <c r="AY45" s="544"/>
      <c r="AZ45" s="529"/>
      <c r="BA45" s="529"/>
      <c r="BB45" s="529"/>
      <c r="BC45" s="539"/>
      <c r="BD45" s="541"/>
      <c r="BE45" s="30"/>
      <c r="BF45" s="267"/>
      <c r="BG45" s="543"/>
      <c r="BH45" s="544"/>
      <c r="BI45" s="529"/>
      <c r="BJ45" s="529"/>
      <c r="BK45" s="529"/>
      <c r="BL45" s="529"/>
      <c r="BM45" s="529"/>
      <c r="BN45" s="529"/>
      <c r="BO45" s="529"/>
      <c r="BP45" s="529"/>
      <c r="BQ45" s="529"/>
      <c r="BR45" s="529"/>
      <c r="BS45" s="529"/>
      <c r="BT45" s="529"/>
      <c r="BU45" s="267"/>
      <c r="BV45" s="529"/>
      <c r="BW45" s="529"/>
      <c r="BX45" s="529"/>
      <c r="BY45" s="529"/>
      <c r="BZ45" s="529"/>
      <c r="CA45" s="529"/>
      <c r="CB45" s="529"/>
      <c r="CC45" s="529"/>
      <c r="CD45" s="529"/>
      <c r="CE45" s="529"/>
      <c r="CF45" s="529"/>
      <c r="CG45" s="529"/>
      <c r="CH45" s="529"/>
      <c r="CI45" s="267"/>
      <c r="CJ45" s="155"/>
      <c r="CK45" s="155"/>
      <c r="CL45" s="545"/>
      <c r="CM45" s="155"/>
      <c r="CN45" s="155"/>
      <c r="CO45" s="155"/>
      <c r="CP45" s="545"/>
      <c r="CQ45" s="155"/>
      <c r="CR45" s="155"/>
      <c r="CS45" s="155"/>
      <c r="CT45" s="545"/>
      <c r="CU45" s="155"/>
      <c r="CV45" s="155"/>
      <c r="CW45" s="155"/>
      <c r="CX45" s="545"/>
      <c r="CY45" s="155"/>
      <c r="CZ45" s="155"/>
      <c r="DA45" s="155"/>
      <c r="DB45" s="155"/>
      <c r="DC45" s="155"/>
      <c r="DD45" s="155"/>
      <c r="DE45" s="546"/>
      <c r="DF45" s="547"/>
      <c r="DG45" s="589"/>
      <c r="DH45" s="656"/>
      <c r="DI45" s="548"/>
      <c r="DJ45" s="547"/>
      <c r="DK45" s="547"/>
      <c r="DL45" s="549"/>
      <c r="DM45" s="547"/>
    </row>
    <row r="46" spans="1:124" s="133" customFormat="1" x14ac:dyDescent="0.2">
      <c r="A46" s="71"/>
      <c r="B46" s="155"/>
      <c r="C46" s="599"/>
      <c r="D46" s="537"/>
      <c r="E46" s="602"/>
      <c r="G46" s="136" t="s">
        <v>139</v>
      </c>
      <c r="N46" s="573"/>
      <c r="O46" s="137" t="s">
        <v>54</v>
      </c>
      <c r="P46" s="138"/>
      <c r="Q46" s="138"/>
      <c r="R46" s="138"/>
      <c r="S46" s="138"/>
      <c r="T46" s="138"/>
      <c r="U46" s="138"/>
      <c r="V46" s="138"/>
      <c r="W46" s="138"/>
      <c r="X46" s="138"/>
      <c r="Y46" s="138"/>
      <c r="Z46" s="480"/>
      <c r="AA46" s="138"/>
      <c r="AB46" s="172"/>
      <c r="AC46" s="502"/>
      <c r="AD46" s="502"/>
      <c r="AE46" s="502"/>
      <c r="AF46" s="172"/>
      <c r="AG46" s="172"/>
      <c r="AH46" s="172"/>
      <c r="AI46" s="172"/>
      <c r="AJ46" s="138"/>
      <c r="AK46" s="502"/>
      <c r="AL46" s="138"/>
      <c r="AM46" s="138"/>
      <c r="AN46" s="469" t="s">
        <v>608</v>
      </c>
      <c r="AO46" s="469"/>
      <c r="AP46" s="469"/>
      <c r="AQ46" s="182" t="s">
        <v>803</v>
      </c>
      <c r="AR46" s="181"/>
      <c r="AS46" s="183"/>
      <c r="AT46" s="141" t="s">
        <v>131</v>
      </c>
      <c r="AU46" s="162"/>
      <c r="AV46" s="162"/>
      <c r="AW46" s="162"/>
      <c r="AX46" s="162"/>
      <c r="AY46" s="613"/>
      <c r="AZ46" s="143"/>
      <c r="BA46" s="143"/>
      <c r="BB46" s="143"/>
      <c r="BC46" s="141" t="s">
        <v>132</v>
      </c>
      <c r="BD46" s="630"/>
      <c r="BE46" s="178"/>
      <c r="BF46" s="142"/>
      <c r="BG46" s="617" t="s">
        <v>96</v>
      </c>
      <c r="BH46" s="121" t="s">
        <v>135</v>
      </c>
      <c r="BI46" s="121"/>
      <c r="BJ46" s="121"/>
      <c r="BK46" s="121"/>
      <c r="BL46" s="119" t="s">
        <v>136</v>
      </c>
      <c r="BM46" s="121"/>
      <c r="BN46" s="121"/>
      <c r="BO46" s="121"/>
      <c r="BP46" s="119" t="s">
        <v>137</v>
      </c>
      <c r="BQ46" s="121"/>
      <c r="BR46" s="121"/>
      <c r="BS46" s="121"/>
      <c r="BT46" s="121"/>
      <c r="BU46" s="120"/>
      <c r="BV46" s="556" t="s">
        <v>135</v>
      </c>
      <c r="BW46" s="556"/>
      <c r="BX46" s="556"/>
      <c r="BY46" s="556"/>
      <c r="BZ46" s="557" t="s">
        <v>136</v>
      </c>
      <c r="CA46" s="556"/>
      <c r="CB46" s="556"/>
      <c r="CC46" s="556"/>
      <c r="CD46" s="557" t="s">
        <v>137</v>
      </c>
      <c r="CE46" s="556"/>
      <c r="CF46" s="556"/>
      <c r="CG46" s="556"/>
      <c r="CH46" s="558"/>
      <c r="CI46" s="559"/>
      <c r="CJ46" s="333" t="s">
        <v>130</v>
      </c>
      <c r="CK46" s="305"/>
      <c r="CL46" s="336"/>
      <c r="CM46" s="305"/>
      <c r="CN46" s="305"/>
      <c r="CO46" s="305"/>
      <c r="CP46" s="336"/>
      <c r="CQ46" s="305"/>
      <c r="CR46" s="156"/>
      <c r="CS46" s="156"/>
      <c r="CT46" s="336"/>
      <c r="CU46" s="332"/>
      <c r="CV46" s="156"/>
      <c r="CW46" s="305"/>
      <c r="CX46" s="336"/>
      <c r="CY46" s="305"/>
      <c r="CZ46" s="156"/>
      <c r="DA46" s="305"/>
      <c r="DB46" s="305"/>
      <c r="DC46" s="305"/>
      <c r="DD46" s="305"/>
      <c r="DE46" s="568"/>
      <c r="DF46" s="180"/>
      <c r="DG46" s="590"/>
      <c r="DH46" s="657"/>
      <c r="DI46" s="279"/>
      <c r="DL46" s="529"/>
    </row>
    <row r="47" spans="1:124" s="92" customFormat="1" x14ac:dyDescent="0.2">
      <c r="A47" s="535" t="s">
        <v>73</v>
      </c>
      <c r="B47" s="511"/>
      <c r="C47" s="609"/>
      <c r="D47" s="612"/>
      <c r="E47" s="610"/>
      <c r="G47" s="512"/>
      <c r="N47" s="578"/>
      <c r="O47" s="513"/>
      <c r="P47" s="514"/>
      <c r="Q47" s="514"/>
      <c r="R47" s="514"/>
      <c r="S47" s="514"/>
      <c r="T47" s="514"/>
      <c r="U47" s="514"/>
      <c r="V47" s="514"/>
      <c r="W47" s="514"/>
      <c r="X47" s="514"/>
      <c r="Y47" s="514"/>
      <c r="Z47" s="515"/>
      <c r="AA47" s="514"/>
      <c r="AB47" s="516"/>
      <c r="AC47" s="517"/>
      <c r="AD47" s="517"/>
      <c r="AE47" s="517"/>
      <c r="AF47" s="516"/>
      <c r="AG47" s="516"/>
      <c r="AH47" s="516"/>
      <c r="AI47" s="516"/>
      <c r="AJ47" s="514"/>
      <c r="AK47" s="517"/>
      <c r="AL47" s="514"/>
      <c r="AM47" s="514"/>
      <c r="AN47" s="518"/>
      <c r="AO47" s="518" t="s">
        <v>610</v>
      </c>
      <c r="AP47" s="518"/>
      <c r="AQ47" s="185"/>
      <c r="AR47" s="187" t="s">
        <v>807</v>
      </c>
      <c r="AS47" s="186"/>
      <c r="AT47" s="519"/>
      <c r="AU47" s="93"/>
      <c r="AV47" s="93"/>
      <c r="AW47" s="93"/>
      <c r="AX47" s="93"/>
      <c r="AY47" s="623"/>
      <c r="AZ47" s="520"/>
      <c r="BA47" s="520"/>
      <c r="BB47" s="520"/>
      <c r="BC47" s="519"/>
      <c r="BD47" s="631"/>
      <c r="BE47" s="178"/>
      <c r="BF47" s="614"/>
      <c r="BG47" s="618"/>
      <c r="BH47" s="521" t="s">
        <v>141</v>
      </c>
      <c r="BI47" s="423"/>
      <c r="BJ47" s="522" t="s">
        <v>142</v>
      </c>
      <c r="BK47" s="521"/>
      <c r="BL47" s="522" t="s">
        <v>141</v>
      </c>
      <c r="BM47" s="423"/>
      <c r="BN47" s="522" t="s">
        <v>142</v>
      </c>
      <c r="BO47" s="423"/>
      <c r="BP47" s="522" t="s">
        <v>141</v>
      </c>
      <c r="BQ47" s="423"/>
      <c r="BR47" s="522" t="s">
        <v>142</v>
      </c>
      <c r="BS47" s="521"/>
      <c r="BT47" s="521"/>
      <c r="BU47" s="423"/>
      <c r="BV47" s="556" t="s">
        <v>141</v>
      </c>
      <c r="BW47" s="560"/>
      <c r="BX47" s="557" t="s">
        <v>142</v>
      </c>
      <c r="BY47" s="556"/>
      <c r="BZ47" s="557" t="s">
        <v>141</v>
      </c>
      <c r="CA47" s="560"/>
      <c r="CB47" s="557" t="s">
        <v>142</v>
      </c>
      <c r="CC47" s="560"/>
      <c r="CD47" s="557" t="s">
        <v>141</v>
      </c>
      <c r="CE47" s="560"/>
      <c r="CF47" s="557" t="s">
        <v>142</v>
      </c>
      <c r="CG47" s="556"/>
      <c r="CH47" s="556"/>
      <c r="CI47" s="560"/>
      <c r="CJ47" s="523"/>
      <c r="CK47" s="524"/>
      <c r="CL47" s="525" t="s">
        <v>385</v>
      </c>
      <c r="CM47" s="250"/>
      <c r="CN47" s="526"/>
      <c r="CO47" s="524"/>
      <c r="CP47" s="525" t="s">
        <v>400</v>
      </c>
      <c r="CQ47" s="524"/>
      <c r="CR47" s="526"/>
      <c r="CS47" s="526"/>
      <c r="CT47" s="525" t="s">
        <v>550</v>
      </c>
      <c r="CU47" s="250"/>
      <c r="CV47" s="526"/>
      <c r="CW47" s="524"/>
      <c r="CX47" s="525" t="s">
        <v>563</v>
      </c>
      <c r="CY47" s="524"/>
      <c r="CZ47" s="526"/>
      <c r="DA47" s="524"/>
      <c r="DB47" s="524"/>
      <c r="DC47" s="524"/>
      <c r="DD47" s="524"/>
      <c r="DE47" s="569"/>
      <c r="DF47" s="527"/>
      <c r="DG47" s="591"/>
      <c r="DH47" s="658"/>
      <c r="DI47" s="528"/>
      <c r="DL47" s="536"/>
    </row>
    <row r="48" spans="1:124" s="133" customFormat="1" x14ac:dyDescent="0.2">
      <c r="A48" s="530" t="s">
        <v>38</v>
      </c>
      <c r="B48" s="305" t="s">
        <v>74</v>
      </c>
      <c r="C48" s="305"/>
      <c r="D48" s="156"/>
      <c r="E48" s="333"/>
      <c r="F48" s="132" t="s">
        <v>48</v>
      </c>
      <c r="G48" s="135" t="s">
        <v>49</v>
      </c>
      <c r="H48" s="531" t="s">
        <v>50</v>
      </c>
      <c r="I48" s="134" t="s">
        <v>51</v>
      </c>
      <c r="J48" s="134" t="s">
        <v>614</v>
      </c>
      <c r="K48" s="134" t="s">
        <v>827</v>
      </c>
      <c r="L48" s="134" t="s">
        <v>828</v>
      </c>
      <c r="M48" s="532" t="s">
        <v>52</v>
      </c>
      <c r="N48" s="574" t="s">
        <v>615</v>
      </c>
      <c r="O48" s="137" t="s">
        <v>632</v>
      </c>
      <c r="P48" s="138" t="s">
        <v>75</v>
      </c>
      <c r="Q48" s="138" t="s">
        <v>613</v>
      </c>
      <c r="R48" s="138" t="s">
        <v>140</v>
      </c>
      <c r="S48" s="138" t="s">
        <v>616</v>
      </c>
      <c r="T48" s="138" t="s">
        <v>505</v>
      </c>
      <c r="U48" s="138" t="s">
        <v>617</v>
      </c>
      <c r="V48" s="138" t="s">
        <v>504</v>
      </c>
      <c r="W48" s="138" t="s">
        <v>618</v>
      </c>
      <c r="X48" s="138" t="s">
        <v>76</v>
      </c>
      <c r="Y48" s="138" t="s">
        <v>619</v>
      </c>
      <c r="Z48" s="285" t="s">
        <v>626</v>
      </c>
      <c r="AA48" s="138" t="s">
        <v>620</v>
      </c>
      <c r="AB48" s="172" t="s">
        <v>77</v>
      </c>
      <c r="AC48" s="502" t="s">
        <v>621</v>
      </c>
      <c r="AD48" s="502" t="s">
        <v>78</v>
      </c>
      <c r="AE48" s="502" t="s">
        <v>622</v>
      </c>
      <c r="AF48" s="284" t="s">
        <v>331</v>
      </c>
      <c r="AG48" s="284" t="s">
        <v>734</v>
      </c>
      <c r="AH48" s="284" t="s">
        <v>332</v>
      </c>
      <c r="AI48" s="284" t="s">
        <v>733</v>
      </c>
      <c r="AJ48" s="285" t="s">
        <v>79</v>
      </c>
      <c r="AK48" s="503" t="s">
        <v>623</v>
      </c>
      <c r="AL48" s="474" t="s">
        <v>80</v>
      </c>
      <c r="AM48" s="173" t="s">
        <v>624</v>
      </c>
      <c r="AN48" s="533" t="s">
        <v>609</v>
      </c>
      <c r="AO48" s="472" t="s">
        <v>611</v>
      </c>
      <c r="AP48" s="472" t="s">
        <v>612</v>
      </c>
      <c r="AQ48" s="647" t="s">
        <v>804</v>
      </c>
      <c r="AR48" s="648" t="s">
        <v>805</v>
      </c>
      <c r="AS48" s="648" t="s">
        <v>806</v>
      </c>
      <c r="AT48" s="139" t="s">
        <v>133</v>
      </c>
      <c r="AU48" s="162" t="s">
        <v>81</v>
      </c>
      <c r="AV48" s="162" t="s">
        <v>82</v>
      </c>
      <c r="AW48" s="162" t="s">
        <v>83</v>
      </c>
      <c r="AX48" s="162" t="s">
        <v>84</v>
      </c>
      <c r="AY48" s="534" t="s">
        <v>165</v>
      </c>
      <c r="AZ48" s="178" t="s">
        <v>735</v>
      </c>
      <c r="BA48" s="534" t="s">
        <v>166</v>
      </c>
      <c r="BB48" s="178" t="s">
        <v>736</v>
      </c>
      <c r="BC48" s="141" t="s">
        <v>85</v>
      </c>
      <c r="BD48" s="626" t="s">
        <v>737</v>
      </c>
      <c r="BE48" s="178" t="s">
        <v>86</v>
      </c>
      <c r="BF48" s="178" t="s">
        <v>738</v>
      </c>
      <c r="BG48" s="144" t="s">
        <v>120</v>
      </c>
      <c r="BH48" s="119" t="s">
        <v>121</v>
      </c>
      <c r="BI48" s="120" t="s">
        <v>311</v>
      </c>
      <c r="BJ48" s="119" t="s">
        <v>122</v>
      </c>
      <c r="BK48" s="121" t="s">
        <v>123</v>
      </c>
      <c r="BL48" s="119" t="s">
        <v>124</v>
      </c>
      <c r="BM48" s="120" t="s">
        <v>310</v>
      </c>
      <c r="BN48" s="119" t="s">
        <v>125</v>
      </c>
      <c r="BO48" s="120" t="s">
        <v>126</v>
      </c>
      <c r="BP48" s="119" t="s">
        <v>127</v>
      </c>
      <c r="BQ48" s="120" t="s">
        <v>309</v>
      </c>
      <c r="BR48" s="119" t="s">
        <v>128</v>
      </c>
      <c r="BS48" s="121" t="s">
        <v>129</v>
      </c>
      <c r="BT48" s="121" t="s">
        <v>607</v>
      </c>
      <c r="BU48" s="120" t="s">
        <v>606</v>
      </c>
      <c r="BV48" s="119" t="s">
        <v>638</v>
      </c>
      <c r="BW48" s="120" t="s">
        <v>639</v>
      </c>
      <c r="BX48" s="119" t="s">
        <v>640</v>
      </c>
      <c r="BY48" s="121" t="s">
        <v>641</v>
      </c>
      <c r="BZ48" s="119" t="s">
        <v>642</v>
      </c>
      <c r="CA48" s="120" t="s">
        <v>643</v>
      </c>
      <c r="CB48" s="119" t="s">
        <v>644</v>
      </c>
      <c r="CC48" s="120" t="s">
        <v>645</v>
      </c>
      <c r="CD48" s="119" t="s">
        <v>646</v>
      </c>
      <c r="CE48" s="120" t="s">
        <v>647</v>
      </c>
      <c r="CF48" s="119" t="s">
        <v>648</v>
      </c>
      <c r="CG48" s="121" t="s">
        <v>649</v>
      </c>
      <c r="CH48" s="121" t="s">
        <v>650</v>
      </c>
      <c r="CI48" s="120" t="s">
        <v>651</v>
      </c>
      <c r="CJ48" s="332" t="s">
        <v>295</v>
      </c>
      <c r="CK48" s="305" t="s">
        <v>386</v>
      </c>
      <c r="CL48" s="336" t="s">
        <v>401</v>
      </c>
      <c r="CM48" s="332" t="s">
        <v>346</v>
      </c>
      <c r="CN48" s="156" t="s">
        <v>390</v>
      </c>
      <c r="CO48" s="332" t="s">
        <v>340</v>
      </c>
      <c r="CP48" s="336" t="s">
        <v>401</v>
      </c>
      <c r="CQ48" s="332" t="s">
        <v>339</v>
      </c>
      <c r="CR48" s="156" t="s">
        <v>390</v>
      </c>
      <c r="CS48" s="156" t="s">
        <v>341</v>
      </c>
      <c r="CT48" s="336" t="s">
        <v>401</v>
      </c>
      <c r="CU48" s="332" t="s">
        <v>342</v>
      </c>
      <c r="CV48" s="156" t="s">
        <v>390</v>
      </c>
      <c r="CW48" s="332" t="s">
        <v>343</v>
      </c>
      <c r="CX48" s="336" t="s">
        <v>401</v>
      </c>
      <c r="CY48" s="332" t="s">
        <v>344</v>
      </c>
      <c r="CZ48" s="156" t="s">
        <v>390</v>
      </c>
      <c r="DA48" s="332"/>
      <c r="DB48" s="332"/>
      <c r="DC48" s="332"/>
      <c r="DD48" s="332"/>
      <c r="DE48" s="568" t="s">
        <v>654</v>
      </c>
      <c r="DF48" s="180"/>
      <c r="DG48" s="590"/>
      <c r="DH48" s="657"/>
      <c r="DI48" s="279"/>
    </row>
    <row r="49" spans="1:109" x14ac:dyDescent="0.2">
      <c r="A49" s="216">
        <v>58.01</v>
      </c>
      <c r="B49" s="595" t="s">
        <v>154</v>
      </c>
      <c r="C49" s="595" t="s">
        <v>296</v>
      </c>
      <c r="D49" s="158" t="s">
        <v>296</v>
      </c>
      <c r="E49" s="605" t="s">
        <v>296</v>
      </c>
      <c r="F49" s="16">
        <v>2</v>
      </c>
      <c r="G49" s="90">
        <v>1</v>
      </c>
      <c r="H49" s="159">
        <v>32286</v>
      </c>
      <c r="I49" s="160">
        <v>41509</v>
      </c>
      <c r="J49" s="160">
        <v>42188</v>
      </c>
      <c r="K49" s="109">
        <f>(J49-I49)/365</f>
        <v>1.8602739726027397</v>
      </c>
      <c r="L49" s="109">
        <f>K49*12</f>
        <v>22.323287671232876</v>
      </c>
      <c r="M49" s="161">
        <v>25.25</v>
      </c>
      <c r="N49" s="473">
        <v>27.1</v>
      </c>
      <c r="O49" s="90">
        <v>100</v>
      </c>
      <c r="P49" s="16">
        <v>7</v>
      </c>
      <c r="Q49" s="16">
        <v>6</v>
      </c>
      <c r="R49" s="16">
        <v>16</v>
      </c>
      <c r="S49" s="16">
        <v>21</v>
      </c>
      <c r="T49" s="16">
        <v>8</v>
      </c>
      <c r="U49" s="16">
        <v>13</v>
      </c>
      <c r="V49" s="16">
        <v>8</v>
      </c>
      <c r="W49" s="16">
        <v>8</v>
      </c>
      <c r="X49" s="16">
        <v>102.08</v>
      </c>
      <c r="Y49" s="16">
        <v>112</v>
      </c>
      <c r="Z49" s="484">
        <v>16</v>
      </c>
      <c r="AA49" s="22">
        <v>16</v>
      </c>
      <c r="AB49" s="641">
        <v>20</v>
      </c>
      <c r="AC49" s="641">
        <v>15</v>
      </c>
      <c r="AD49" s="641">
        <v>71</v>
      </c>
      <c r="AE49" s="641">
        <v>71</v>
      </c>
      <c r="AF49" s="641">
        <v>51</v>
      </c>
      <c r="AG49" s="641">
        <v>56</v>
      </c>
      <c r="AH49" s="287">
        <v>3.55</v>
      </c>
      <c r="AI49" s="287">
        <v>4.7333333333333334</v>
      </c>
      <c r="AJ49" s="16">
        <v>7</v>
      </c>
      <c r="AK49" s="508">
        <v>8</v>
      </c>
      <c r="AL49" s="16">
        <v>54</v>
      </c>
      <c r="AM49" s="91">
        <v>61</v>
      </c>
      <c r="AN49" s="91">
        <v>197.58</v>
      </c>
      <c r="AO49" s="91">
        <v>23.81</v>
      </c>
      <c r="AP49" s="91">
        <v>23.58</v>
      </c>
      <c r="AQ49" s="107">
        <v>216.61669033160001</v>
      </c>
      <c r="AR49" s="107">
        <v>32.633629645349998</v>
      </c>
      <c r="AS49" s="107">
        <v>34.348822479950002</v>
      </c>
      <c r="AT49" s="91" t="s">
        <v>134</v>
      </c>
      <c r="AU49" s="16">
        <v>61</v>
      </c>
      <c r="AV49" s="16">
        <v>0</v>
      </c>
      <c r="AW49" s="16">
        <v>3</v>
      </c>
      <c r="AX49" s="16">
        <v>3</v>
      </c>
      <c r="AY49" s="74">
        <v>95.3125</v>
      </c>
      <c r="AZ49" s="30">
        <v>87.5</v>
      </c>
      <c r="BA49" s="30">
        <v>4.6900000000000004</v>
      </c>
      <c r="BB49" s="30">
        <v>12.5</v>
      </c>
      <c r="BC49" s="90">
        <v>65</v>
      </c>
      <c r="BD49" s="509">
        <v>48</v>
      </c>
      <c r="BE49" s="30">
        <v>0.67708333333333337</v>
      </c>
      <c r="BF49" s="107">
        <v>0.5</v>
      </c>
      <c r="BG49" s="108" t="s">
        <v>68</v>
      </c>
      <c r="BH49" s="74">
        <v>100</v>
      </c>
      <c r="BI49" s="30">
        <v>97.619047619047635</v>
      </c>
      <c r="BJ49" s="30">
        <v>412.83333333333331</v>
      </c>
      <c r="BK49" s="30">
        <v>596.1388888888888</v>
      </c>
      <c r="BL49" s="30">
        <v>100</v>
      </c>
      <c r="BM49" s="30">
        <v>100</v>
      </c>
      <c r="BN49" s="30">
        <v>386.41666666666669</v>
      </c>
      <c r="BO49" s="30">
        <v>578.33333333333337</v>
      </c>
      <c r="BP49" s="30">
        <v>100</v>
      </c>
      <c r="BQ49" s="30">
        <v>98.809523809523824</v>
      </c>
      <c r="BR49" s="30">
        <v>399.625</v>
      </c>
      <c r="BS49" s="30">
        <v>587.23611111111109</v>
      </c>
      <c r="BT49" s="30">
        <v>45.710632860656602</v>
      </c>
      <c r="BU49" s="107">
        <v>147.99763645158973</v>
      </c>
      <c r="BV49" s="193">
        <v>100</v>
      </c>
      <c r="BW49" s="193">
        <v>100</v>
      </c>
      <c r="BX49" s="193">
        <v>408.25</v>
      </c>
      <c r="BY49" s="193">
        <v>597.75</v>
      </c>
      <c r="BZ49" s="193">
        <v>97.619047619047635</v>
      </c>
      <c r="CA49" s="193">
        <v>97.619047619047635</v>
      </c>
      <c r="CB49" s="193">
        <v>423.33333333333331</v>
      </c>
      <c r="CC49" s="193">
        <v>559.58333333333337</v>
      </c>
      <c r="CD49" s="193">
        <v>98.809523809523824</v>
      </c>
      <c r="CE49" s="193">
        <v>98.809523809523824</v>
      </c>
      <c r="CF49" s="193">
        <v>415.79166666666663</v>
      </c>
      <c r="CG49" s="193">
        <v>578.66666666666674</v>
      </c>
      <c r="CH49" s="193">
        <v>60.776124578987314</v>
      </c>
      <c r="CI49" s="107">
        <v>196.38820754628094</v>
      </c>
      <c r="CJ49" s="251" t="s">
        <v>296</v>
      </c>
      <c r="CK49" s="251" t="s">
        <v>296</v>
      </c>
      <c r="CL49" s="326"/>
      <c r="CM49" s="251" t="s">
        <v>296</v>
      </c>
      <c r="CN49" s="251"/>
      <c r="CO49" s="251" t="s">
        <v>296</v>
      </c>
      <c r="CP49" s="326"/>
      <c r="CQ49" s="251" t="s">
        <v>296</v>
      </c>
      <c r="CR49" s="251"/>
      <c r="CS49" s="314" t="s">
        <v>297</v>
      </c>
      <c r="CT49" s="325" t="s">
        <v>536</v>
      </c>
      <c r="CU49" s="314" t="s">
        <v>297</v>
      </c>
      <c r="CV49" s="314" t="s">
        <v>579</v>
      </c>
      <c r="CW49" s="251" t="s">
        <v>296</v>
      </c>
      <c r="CX49" s="326"/>
      <c r="CY49" s="251" t="s">
        <v>296</v>
      </c>
      <c r="CZ49" s="251"/>
      <c r="DA49" s="251"/>
      <c r="DB49" s="251"/>
      <c r="DC49" s="251"/>
      <c r="DD49" s="251"/>
      <c r="DE49" s="570" t="s">
        <v>655</v>
      </c>
    </row>
    <row r="50" spans="1:109" x14ac:dyDescent="0.2">
      <c r="A50" s="216">
        <v>58.02</v>
      </c>
      <c r="B50" s="595" t="s">
        <v>161</v>
      </c>
      <c r="C50" s="595" t="s">
        <v>297</v>
      </c>
      <c r="D50" s="158" t="s">
        <v>297</v>
      </c>
      <c r="E50" s="605" t="s">
        <v>297</v>
      </c>
      <c r="F50" s="16">
        <v>2</v>
      </c>
      <c r="G50" s="5">
        <v>1</v>
      </c>
      <c r="H50" s="152">
        <v>31002</v>
      </c>
      <c r="I50" s="152">
        <v>41513</v>
      </c>
      <c r="J50" s="152">
        <v>42298</v>
      </c>
      <c r="K50" s="109">
        <f t="shared" ref="K50:K85" si="2">(J50-I50)/365</f>
        <v>2.1506849315068495</v>
      </c>
      <c r="L50" s="109">
        <f t="shared" ref="L50:L85" si="3">K50*12</f>
        <v>25.808219178082194</v>
      </c>
      <c r="M50" s="16">
        <v>28.8</v>
      </c>
      <c r="N50" s="226">
        <v>30.9</v>
      </c>
      <c r="O50" s="151">
        <v>80</v>
      </c>
      <c r="P50" s="22">
        <v>6</v>
      </c>
      <c r="Q50" s="22">
        <v>2</v>
      </c>
      <c r="R50" s="22">
        <v>20</v>
      </c>
      <c r="S50" s="22">
        <v>22</v>
      </c>
      <c r="T50" s="22">
        <v>12</v>
      </c>
      <c r="U50" s="22">
        <v>12</v>
      </c>
      <c r="V50" s="22">
        <v>8</v>
      </c>
      <c r="W50" s="22">
        <v>10</v>
      </c>
      <c r="X50" s="22">
        <v>108.28</v>
      </c>
      <c r="Y50" s="22">
        <v>114.47999999999999</v>
      </c>
      <c r="Z50" s="486">
        <v>20</v>
      </c>
      <c r="AA50" s="22">
        <v>22</v>
      </c>
      <c r="AB50" s="642">
        <v>22</v>
      </c>
      <c r="AC50" s="642">
        <v>19</v>
      </c>
      <c r="AD50" s="642">
        <v>44</v>
      </c>
      <c r="AE50" s="642">
        <v>39</v>
      </c>
      <c r="AF50" s="641">
        <v>22</v>
      </c>
      <c r="AG50" s="641">
        <v>20</v>
      </c>
      <c r="AH50" s="287">
        <v>2</v>
      </c>
      <c r="AI50" s="287">
        <v>2.0526315789473686</v>
      </c>
      <c r="AJ50" s="22">
        <v>6</v>
      </c>
      <c r="AK50" s="509">
        <v>6</v>
      </c>
      <c r="AL50" s="22">
        <v>63</v>
      </c>
      <c r="AM50" s="148">
        <v>51</v>
      </c>
      <c r="AN50" s="148">
        <v>209.19</v>
      </c>
      <c r="AO50" s="148">
        <v>19.47</v>
      </c>
      <c r="AP50" s="148">
        <v>20.399999999999999</v>
      </c>
      <c r="AQ50" s="344">
        <v>232.199655288</v>
      </c>
      <c r="AR50" s="344">
        <v>16.363653983100001</v>
      </c>
      <c r="AS50" s="344">
        <v>17.277756936300001</v>
      </c>
      <c r="AT50" s="5" t="s">
        <v>143</v>
      </c>
      <c r="AU50" s="16">
        <v>63</v>
      </c>
      <c r="AV50" s="16">
        <v>1</v>
      </c>
      <c r="AW50" s="16">
        <v>0</v>
      </c>
      <c r="AX50" s="16">
        <v>1</v>
      </c>
      <c r="AY50" s="74">
        <v>98.4375</v>
      </c>
      <c r="AZ50" s="30">
        <v>98.4375</v>
      </c>
      <c r="BA50" s="30">
        <v>1.56</v>
      </c>
      <c r="BB50" s="30">
        <v>1.56</v>
      </c>
      <c r="BC50" s="90">
        <v>66</v>
      </c>
      <c r="BD50" s="508">
        <v>56</v>
      </c>
      <c r="BE50" s="30">
        <v>0.6875</v>
      </c>
      <c r="BF50" s="107">
        <v>0.77777777777777779</v>
      </c>
      <c r="BG50" s="108" t="s">
        <v>67</v>
      </c>
      <c r="BH50" s="74">
        <v>100</v>
      </c>
      <c r="BI50" s="30">
        <v>100</v>
      </c>
      <c r="BJ50" s="30">
        <v>395.5</v>
      </c>
      <c r="BK50" s="30">
        <v>465.08333333333331</v>
      </c>
      <c r="BL50" s="30">
        <v>100</v>
      </c>
      <c r="BM50" s="30">
        <v>100</v>
      </c>
      <c r="BN50" s="30">
        <v>397.16666666666669</v>
      </c>
      <c r="BO50" s="30">
        <v>507.91666666666669</v>
      </c>
      <c r="BP50" s="30">
        <v>100</v>
      </c>
      <c r="BQ50" s="30">
        <v>100</v>
      </c>
      <c r="BR50" s="30">
        <v>396.33333333333337</v>
      </c>
      <c r="BS50" s="30">
        <v>486.5</v>
      </c>
      <c r="BT50" s="30">
        <v>40.23373737534714</v>
      </c>
      <c r="BU50" s="107">
        <v>139.72208440173378</v>
      </c>
      <c r="BV50" s="193">
        <v>100</v>
      </c>
      <c r="BW50" s="193">
        <v>100</v>
      </c>
      <c r="BX50" s="193">
        <v>407</v>
      </c>
      <c r="BY50" s="193">
        <v>448.16666666666669</v>
      </c>
      <c r="BZ50" s="193">
        <v>100</v>
      </c>
      <c r="CA50" s="193">
        <v>97.619047619047635</v>
      </c>
      <c r="CB50" s="193">
        <v>409.66666666666669</v>
      </c>
      <c r="CC50" s="193">
        <v>436.25</v>
      </c>
      <c r="CD50" s="193">
        <v>100</v>
      </c>
      <c r="CE50" s="193">
        <v>98.809523809523824</v>
      </c>
      <c r="CF50" s="193">
        <v>408.33333333333337</v>
      </c>
      <c r="CG50" s="193">
        <v>442.20833333333337</v>
      </c>
      <c r="CH50" s="16">
        <v>44.512496209947457</v>
      </c>
      <c r="CI50" s="107">
        <v>135.19925275186995</v>
      </c>
      <c r="CJ50" s="252" t="s">
        <v>296</v>
      </c>
      <c r="CK50" s="252" t="s">
        <v>296</v>
      </c>
      <c r="CL50" s="327"/>
      <c r="CM50" s="252" t="s">
        <v>296</v>
      </c>
      <c r="CN50" s="252"/>
      <c r="CO50" s="252" t="s">
        <v>296</v>
      </c>
      <c r="CP50" s="327"/>
      <c r="CQ50" s="252" t="s">
        <v>296</v>
      </c>
      <c r="CR50" s="252"/>
      <c r="CS50" s="252" t="s">
        <v>296</v>
      </c>
      <c r="CT50" s="327"/>
      <c r="CU50" s="252" t="s">
        <v>296</v>
      </c>
      <c r="CV50" s="252"/>
      <c r="CW50" s="252" t="s">
        <v>296</v>
      </c>
      <c r="CX50" s="327"/>
      <c r="CY50" s="252" t="s">
        <v>296</v>
      </c>
      <c r="CZ50" s="252"/>
      <c r="DA50" s="252"/>
      <c r="DB50" s="252"/>
      <c r="DC50" s="252"/>
      <c r="DD50" s="252"/>
      <c r="DE50" s="570" t="s">
        <v>655</v>
      </c>
    </row>
    <row r="51" spans="1:109" x14ac:dyDescent="0.2">
      <c r="A51" s="216">
        <v>58.03</v>
      </c>
      <c r="B51" s="595" t="s">
        <v>164</v>
      </c>
      <c r="C51" s="595" t="s">
        <v>297</v>
      </c>
      <c r="D51" s="158" t="s">
        <v>297</v>
      </c>
      <c r="E51" s="605" t="s">
        <v>297</v>
      </c>
      <c r="F51" s="16">
        <v>2</v>
      </c>
      <c r="G51" s="5">
        <v>2</v>
      </c>
      <c r="H51" s="152">
        <v>27250</v>
      </c>
      <c r="I51" s="152">
        <v>41515</v>
      </c>
      <c r="J51" s="152">
        <v>42235</v>
      </c>
      <c r="K51" s="109">
        <f t="shared" si="2"/>
        <v>1.9726027397260273</v>
      </c>
      <c r="L51" s="109">
        <f t="shared" si="3"/>
        <v>23.671232876712327</v>
      </c>
      <c r="M51" s="16">
        <v>39</v>
      </c>
      <c r="N51" s="226">
        <v>41</v>
      </c>
      <c r="O51" s="90">
        <v>100</v>
      </c>
      <c r="P51" s="16">
        <v>13</v>
      </c>
      <c r="Q51" s="22">
        <v>4</v>
      </c>
      <c r="R51" s="16">
        <v>14</v>
      </c>
      <c r="S51" s="22">
        <v>18</v>
      </c>
      <c r="T51" s="16">
        <v>8</v>
      </c>
      <c r="U51" s="22">
        <v>12</v>
      </c>
      <c r="V51" s="16">
        <v>6</v>
      </c>
      <c r="W51" s="22">
        <v>6</v>
      </c>
      <c r="X51" s="16">
        <v>114.47999999999999</v>
      </c>
      <c r="Y51" s="16">
        <v>120.67999999999999</v>
      </c>
      <c r="Z51" s="484">
        <v>16</v>
      </c>
      <c r="AA51" s="22">
        <v>17</v>
      </c>
      <c r="AB51" s="641">
        <v>31</v>
      </c>
      <c r="AC51" s="641">
        <v>22</v>
      </c>
      <c r="AD51" s="641">
        <v>49</v>
      </c>
      <c r="AE51" s="641">
        <v>67</v>
      </c>
      <c r="AF51" s="641">
        <v>18</v>
      </c>
      <c r="AG51" s="641">
        <v>45</v>
      </c>
      <c r="AH51" s="287">
        <v>1.5806451612903225</v>
      </c>
      <c r="AI51" s="287">
        <v>3.0454545454545454</v>
      </c>
      <c r="AJ51" s="16">
        <v>6</v>
      </c>
      <c r="AK51" s="508">
        <v>6</v>
      </c>
      <c r="AL51" s="16">
        <v>57</v>
      </c>
      <c r="AM51" s="91">
        <v>52</v>
      </c>
      <c r="AN51" s="91">
        <v>193.19</v>
      </c>
      <c r="AO51" s="91">
        <v>15.59</v>
      </c>
      <c r="AP51" s="91">
        <v>20.5</v>
      </c>
      <c r="AQ51" s="107">
        <v>215.74497472190001</v>
      </c>
      <c r="AR51" s="107">
        <v>19.987977840891368</v>
      </c>
      <c r="AS51" s="107">
        <v>21.727800217501532</v>
      </c>
      <c r="AT51" s="5" t="s">
        <v>134</v>
      </c>
      <c r="AU51" s="22">
        <v>64</v>
      </c>
      <c r="AV51" s="22">
        <v>0</v>
      </c>
      <c r="AW51" s="22">
        <v>0</v>
      </c>
      <c r="AX51" s="22">
        <v>0</v>
      </c>
      <c r="AY51" s="74">
        <v>100</v>
      </c>
      <c r="AZ51" s="30">
        <v>100</v>
      </c>
      <c r="BA51" s="30">
        <v>0</v>
      </c>
      <c r="BB51" s="30">
        <v>0</v>
      </c>
      <c r="BC51" s="90">
        <v>90</v>
      </c>
      <c r="BD51" s="508">
        <v>49</v>
      </c>
      <c r="BE51" s="30">
        <v>0.94</v>
      </c>
      <c r="BF51" s="107">
        <v>0.51041666666666663</v>
      </c>
      <c r="BG51" s="108" t="s">
        <v>67</v>
      </c>
      <c r="BH51" s="74">
        <v>100</v>
      </c>
      <c r="BI51" s="30">
        <v>100</v>
      </c>
      <c r="BJ51" s="30">
        <v>408.66666666666669</v>
      </c>
      <c r="BK51" s="30">
        <v>541.33333333333337</v>
      </c>
      <c r="BL51" s="30">
        <v>100</v>
      </c>
      <c r="BM51" s="30">
        <v>100</v>
      </c>
      <c r="BN51" s="30">
        <v>402.91666666666669</v>
      </c>
      <c r="BO51" s="30">
        <v>445.58333333333331</v>
      </c>
      <c r="BP51" s="30">
        <v>100</v>
      </c>
      <c r="BQ51" s="30">
        <v>100</v>
      </c>
      <c r="BR51" s="30">
        <v>405.79166666666669</v>
      </c>
      <c r="BS51" s="30">
        <v>493.45833333333337</v>
      </c>
      <c r="BT51" s="30">
        <v>45.090227579691948</v>
      </c>
      <c r="BU51" s="107">
        <v>150.70788882345599</v>
      </c>
      <c r="BV51" s="193">
        <v>88.095238095238088</v>
      </c>
      <c r="BW51" s="193">
        <v>97.619047619047635</v>
      </c>
      <c r="BX51" s="193">
        <v>450.3055555555556</v>
      </c>
      <c r="BY51" s="193">
        <v>571.58333333333337</v>
      </c>
      <c r="BZ51" s="193">
        <v>100</v>
      </c>
      <c r="CA51" s="193">
        <v>100</v>
      </c>
      <c r="CB51" s="193">
        <v>449.25</v>
      </c>
      <c r="CC51" s="193">
        <v>500.91666666666669</v>
      </c>
      <c r="CD51" s="193">
        <v>94.047619047619037</v>
      </c>
      <c r="CE51" s="193">
        <v>98.809523809523824</v>
      </c>
      <c r="CF51" s="193">
        <v>449.77777777777783</v>
      </c>
      <c r="CG51" s="193">
        <v>536.25</v>
      </c>
      <c r="CH51" s="193">
        <v>160.22824493886989</v>
      </c>
      <c r="CI51" s="107">
        <v>193.24736344452637</v>
      </c>
      <c r="CJ51" s="252" t="s">
        <v>296</v>
      </c>
      <c r="CK51" s="252" t="s">
        <v>296</v>
      </c>
      <c r="CL51" s="327"/>
      <c r="CM51" s="252" t="s">
        <v>296</v>
      </c>
      <c r="CN51" s="252"/>
      <c r="CO51" s="252" t="s">
        <v>296</v>
      </c>
      <c r="CP51" s="327"/>
      <c r="CQ51" s="252" t="s">
        <v>296</v>
      </c>
      <c r="CR51" s="252"/>
      <c r="CS51" s="252" t="s">
        <v>296</v>
      </c>
      <c r="CT51" s="327"/>
      <c r="CU51" s="252" t="s">
        <v>296</v>
      </c>
      <c r="CV51" s="252"/>
      <c r="CW51" s="252" t="s">
        <v>296</v>
      </c>
      <c r="CX51" s="327"/>
      <c r="CY51" s="252" t="s">
        <v>296</v>
      </c>
      <c r="CZ51" s="252"/>
      <c r="DA51" s="252"/>
      <c r="DB51" s="252"/>
      <c r="DC51" s="252"/>
      <c r="DD51" s="252"/>
      <c r="DE51" s="570" t="s">
        <v>656</v>
      </c>
    </row>
    <row r="52" spans="1:109" x14ac:dyDescent="0.2">
      <c r="A52" s="216">
        <v>58.04</v>
      </c>
      <c r="B52" s="595" t="s">
        <v>256</v>
      </c>
      <c r="C52" s="595" t="s">
        <v>297</v>
      </c>
      <c r="D52" s="158" t="s">
        <v>297</v>
      </c>
      <c r="E52" s="605" t="s">
        <v>297</v>
      </c>
      <c r="F52" s="22">
        <v>2</v>
      </c>
      <c r="G52" s="5">
        <v>1</v>
      </c>
      <c r="H52" s="152">
        <v>32354</v>
      </c>
      <c r="I52" s="152">
        <v>41522</v>
      </c>
      <c r="J52" s="152">
        <v>42243</v>
      </c>
      <c r="K52" s="109">
        <f t="shared" si="2"/>
        <v>1.9753424657534246</v>
      </c>
      <c r="L52" s="109">
        <f t="shared" si="3"/>
        <v>23.704109589041096</v>
      </c>
      <c r="M52" s="22">
        <v>25.2</v>
      </c>
      <c r="N52" s="579">
        <v>27.1</v>
      </c>
      <c r="O52" s="90">
        <v>64</v>
      </c>
      <c r="P52" s="16">
        <v>6</v>
      </c>
      <c r="Q52" s="22">
        <v>11</v>
      </c>
      <c r="R52" s="16">
        <v>24</v>
      </c>
      <c r="S52" s="22">
        <v>26</v>
      </c>
      <c r="T52" s="16">
        <v>13</v>
      </c>
      <c r="U52" s="22">
        <v>13</v>
      </c>
      <c r="V52" s="16">
        <v>11</v>
      </c>
      <c r="W52" s="22">
        <v>13</v>
      </c>
      <c r="X52" s="16">
        <v>104.56</v>
      </c>
      <c r="Y52" s="16">
        <v>116.96</v>
      </c>
      <c r="Z52" s="484">
        <v>13</v>
      </c>
      <c r="AA52" s="22">
        <v>14</v>
      </c>
      <c r="AB52" s="508">
        <v>25</v>
      </c>
      <c r="AC52" s="508">
        <v>25</v>
      </c>
      <c r="AD52" s="508">
        <v>68</v>
      </c>
      <c r="AE52" s="508">
        <v>46</v>
      </c>
      <c r="AF52" s="641">
        <v>43</v>
      </c>
      <c r="AG52" s="641">
        <v>21</v>
      </c>
      <c r="AH52" s="287">
        <v>2.72</v>
      </c>
      <c r="AI52" s="287">
        <v>1.84</v>
      </c>
      <c r="AJ52" s="16">
        <v>7</v>
      </c>
      <c r="AK52" s="508">
        <v>7</v>
      </c>
      <c r="AL52" s="16">
        <v>52</v>
      </c>
      <c r="AM52" s="91">
        <v>62</v>
      </c>
      <c r="AN52" s="91">
        <v>210.38</v>
      </c>
      <c r="AO52" s="91">
        <v>25.27</v>
      </c>
      <c r="AP52" s="91">
        <v>35.15</v>
      </c>
      <c r="AQ52" s="107">
        <v>169.17752384541532</v>
      </c>
      <c r="AR52" s="107">
        <v>24.247956285876644</v>
      </c>
      <c r="AS52" s="107">
        <v>29.991091537194116</v>
      </c>
      <c r="AT52" s="5" t="s">
        <v>143</v>
      </c>
      <c r="AU52" s="16">
        <v>63</v>
      </c>
      <c r="AV52" s="16">
        <v>1</v>
      </c>
      <c r="AW52" s="16">
        <v>0</v>
      </c>
      <c r="AX52" s="16">
        <v>1</v>
      </c>
      <c r="AY52" s="74">
        <v>98.4375</v>
      </c>
      <c r="AZ52" s="30">
        <v>98.44</v>
      </c>
      <c r="BA52" s="30">
        <v>1.56</v>
      </c>
      <c r="BB52" s="30">
        <v>1.56</v>
      </c>
      <c r="BC52" s="90">
        <v>67</v>
      </c>
      <c r="BD52" s="508">
        <v>74</v>
      </c>
      <c r="BE52" s="30">
        <v>0.69791666666666663</v>
      </c>
      <c r="BF52" s="107">
        <v>0.77</v>
      </c>
      <c r="BG52" s="108" t="s">
        <v>68</v>
      </c>
      <c r="BH52" s="74">
        <v>100</v>
      </c>
      <c r="BI52" s="30">
        <v>100</v>
      </c>
      <c r="BJ52" s="30">
        <v>494.25</v>
      </c>
      <c r="BK52" s="30">
        <v>455.66666666666669</v>
      </c>
      <c r="BL52" s="30">
        <v>100</v>
      </c>
      <c r="BM52" s="30">
        <v>100</v>
      </c>
      <c r="BN52" s="30">
        <v>440.02777777777777</v>
      </c>
      <c r="BO52" s="30">
        <v>483</v>
      </c>
      <c r="BP52" s="30">
        <v>100</v>
      </c>
      <c r="BQ52" s="30">
        <v>100</v>
      </c>
      <c r="BR52" s="30">
        <v>467.13888888888891</v>
      </c>
      <c r="BS52" s="30">
        <v>469.33333333333337</v>
      </c>
      <c r="BT52" s="30">
        <v>173.91584984148787</v>
      </c>
      <c r="BU52" s="107">
        <v>109.42007870216686</v>
      </c>
      <c r="BV52" s="193">
        <v>100</v>
      </c>
      <c r="BW52" s="193">
        <v>100</v>
      </c>
      <c r="BX52" s="193">
        <v>367.75</v>
      </c>
      <c r="BY52" s="193">
        <v>398.08333333333331</v>
      </c>
      <c r="BZ52" s="193">
        <v>100</v>
      </c>
      <c r="CA52" s="193">
        <v>100</v>
      </c>
      <c r="CB52" s="193">
        <v>368.91666666666669</v>
      </c>
      <c r="CC52" s="193">
        <v>408</v>
      </c>
      <c r="CD52" s="193">
        <v>100</v>
      </c>
      <c r="CE52" s="193">
        <v>100</v>
      </c>
      <c r="CF52" s="193">
        <v>368.33333333333337</v>
      </c>
      <c r="CG52" s="193">
        <v>403.04166666666663</v>
      </c>
      <c r="CH52" s="193">
        <v>57.402974219768168</v>
      </c>
      <c r="CI52" s="107">
        <v>80.63739512629131</v>
      </c>
      <c r="CJ52" s="314" t="s">
        <v>297</v>
      </c>
      <c r="CK52" s="251" t="s">
        <v>296</v>
      </c>
      <c r="CL52" s="326"/>
      <c r="CM52" s="251" t="s">
        <v>296</v>
      </c>
      <c r="CN52" s="251"/>
      <c r="CO52" s="251" t="s">
        <v>296</v>
      </c>
      <c r="CP52" s="326"/>
      <c r="CQ52" s="251" t="s">
        <v>296</v>
      </c>
      <c r="CR52" s="251"/>
      <c r="CS52" s="251" t="s">
        <v>296</v>
      </c>
      <c r="CT52" s="326"/>
      <c r="CU52" s="251" t="s">
        <v>296</v>
      </c>
      <c r="CV52" s="251"/>
      <c r="CW52" s="251" t="s">
        <v>296</v>
      </c>
      <c r="CX52" s="326"/>
      <c r="CY52" s="251" t="s">
        <v>296</v>
      </c>
      <c r="CZ52" s="251"/>
      <c r="DA52" s="251"/>
      <c r="DB52" s="251"/>
      <c r="DC52" s="251"/>
      <c r="DD52" s="251"/>
      <c r="DE52" s="570" t="s">
        <v>655</v>
      </c>
    </row>
    <row r="53" spans="1:109" x14ac:dyDescent="0.2">
      <c r="A53" s="216">
        <v>58.05</v>
      </c>
      <c r="B53" s="595" t="s">
        <v>257</v>
      </c>
      <c r="C53" s="595" t="s">
        <v>297</v>
      </c>
      <c r="D53" s="158" t="s">
        <v>297</v>
      </c>
      <c r="E53" s="605" t="s">
        <v>297</v>
      </c>
      <c r="F53" s="22">
        <v>2</v>
      </c>
      <c r="G53" s="5">
        <v>1</v>
      </c>
      <c r="H53" s="152">
        <v>33259</v>
      </c>
      <c r="I53" s="152">
        <v>41533</v>
      </c>
      <c r="J53" s="152">
        <v>42271</v>
      </c>
      <c r="K53" s="109">
        <f t="shared" si="2"/>
        <v>2.021917808219178</v>
      </c>
      <c r="L53" s="109">
        <f t="shared" si="3"/>
        <v>24.263013698630136</v>
      </c>
      <c r="M53" s="22">
        <v>22.7</v>
      </c>
      <c r="N53" s="579">
        <v>24.7</v>
      </c>
      <c r="O53" s="90">
        <v>82</v>
      </c>
      <c r="P53" s="16">
        <v>0</v>
      </c>
      <c r="Q53" s="22">
        <v>0</v>
      </c>
      <c r="R53" s="16">
        <v>24</v>
      </c>
      <c r="S53" s="22">
        <v>25</v>
      </c>
      <c r="T53" s="16">
        <v>16</v>
      </c>
      <c r="U53" s="22">
        <v>13</v>
      </c>
      <c r="V53" s="16">
        <v>8</v>
      </c>
      <c r="W53" s="22">
        <v>12</v>
      </c>
      <c r="X53" s="16">
        <v>108.28</v>
      </c>
      <c r="Y53" s="16">
        <v>112</v>
      </c>
      <c r="Z53" s="484">
        <v>15</v>
      </c>
      <c r="AA53" s="22">
        <v>15</v>
      </c>
      <c r="AB53" s="508">
        <v>35</v>
      </c>
      <c r="AC53" s="508">
        <v>23</v>
      </c>
      <c r="AD53" s="508">
        <v>80</v>
      </c>
      <c r="AE53" s="508">
        <v>46</v>
      </c>
      <c r="AF53" s="641">
        <v>45</v>
      </c>
      <c r="AG53" s="641">
        <v>23</v>
      </c>
      <c r="AH53" s="287">
        <v>2.2857142857142856</v>
      </c>
      <c r="AI53" s="287">
        <v>2</v>
      </c>
      <c r="AJ53" s="16">
        <v>7</v>
      </c>
      <c r="AK53" s="508">
        <v>6</v>
      </c>
      <c r="AL53" s="16">
        <v>63</v>
      </c>
      <c r="AM53" s="91">
        <v>57</v>
      </c>
      <c r="AN53" s="91">
        <v>175.49</v>
      </c>
      <c r="AO53" s="91">
        <v>27.28</v>
      </c>
      <c r="AP53" s="91">
        <v>25.55</v>
      </c>
      <c r="AQ53" s="107">
        <v>219.93938543255007</v>
      </c>
      <c r="AR53" s="107">
        <v>23.585479473168082</v>
      </c>
      <c r="AS53" s="107">
        <v>25.53696245246114</v>
      </c>
      <c r="AT53" s="5" t="s">
        <v>134</v>
      </c>
      <c r="AU53" s="22">
        <v>63</v>
      </c>
      <c r="AV53" s="22">
        <v>1</v>
      </c>
      <c r="AW53" s="22">
        <v>0</v>
      </c>
      <c r="AX53" s="22">
        <v>1</v>
      </c>
      <c r="AY53" s="74">
        <v>98.44</v>
      </c>
      <c r="AZ53" s="30">
        <v>100</v>
      </c>
      <c r="BA53" s="30">
        <v>1.56</v>
      </c>
      <c r="BB53" s="30">
        <v>0</v>
      </c>
      <c r="BC53" s="90">
        <v>56</v>
      </c>
      <c r="BD53" s="508">
        <v>69</v>
      </c>
      <c r="BE53" s="30">
        <v>0.58333333333333337</v>
      </c>
      <c r="BF53" s="107">
        <v>0.72</v>
      </c>
      <c r="BG53" s="108" t="s">
        <v>68</v>
      </c>
      <c r="BH53" s="200"/>
      <c r="BI53" s="201"/>
      <c r="BJ53" s="201"/>
      <c r="BK53" s="201"/>
      <c r="BL53" s="201"/>
      <c r="BM53" s="201"/>
      <c r="BN53" s="201"/>
      <c r="BO53" s="201"/>
      <c r="BP53" s="201"/>
      <c r="BQ53" s="201"/>
      <c r="BR53" s="201"/>
      <c r="BS53" s="201"/>
      <c r="BT53" s="201"/>
      <c r="BU53" s="202"/>
      <c r="BV53" s="193">
        <v>100</v>
      </c>
      <c r="BW53" s="193">
        <v>100</v>
      </c>
      <c r="BX53" s="193">
        <v>416</v>
      </c>
      <c r="BY53" s="193">
        <v>474.91666666666669</v>
      </c>
      <c r="BZ53" s="193">
        <v>100</v>
      </c>
      <c r="CA53" s="193">
        <v>100</v>
      </c>
      <c r="CB53" s="193">
        <v>399.91666666666669</v>
      </c>
      <c r="CC53" s="193">
        <v>443.75</v>
      </c>
      <c r="CD53" s="193">
        <v>100</v>
      </c>
      <c r="CE53" s="193">
        <v>100</v>
      </c>
      <c r="CF53" s="193">
        <v>407.95833333333337</v>
      </c>
      <c r="CG53" s="193">
        <v>459.33333333333337</v>
      </c>
      <c r="CH53" s="193">
        <v>70.620528587451261</v>
      </c>
      <c r="CI53" s="107">
        <v>124.15581608070825</v>
      </c>
      <c r="CJ53" s="311" t="s">
        <v>297</v>
      </c>
      <c r="CK53" s="247" t="s">
        <v>296</v>
      </c>
      <c r="CM53" s="247" t="s">
        <v>296</v>
      </c>
      <c r="CO53" s="247" t="s">
        <v>296</v>
      </c>
      <c r="CQ53" s="247" t="s">
        <v>296</v>
      </c>
      <c r="CS53" s="247" t="s">
        <v>296</v>
      </c>
      <c r="CU53" s="247" t="s">
        <v>296</v>
      </c>
      <c r="CW53" s="247" t="s">
        <v>296</v>
      </c>
      <c r="CY53" s="247" t="s">
        <v>296</v>
      </c>
      <c r="DE53" s="570" t="s">
        <v>655</v>
      </c>
    </row>
    <row r="54" spans="1:109" x14ac:dyDescent="0.2">
      <c r="A54" s="216">
        <v>58.06</v>
      </c>
      <c r="B54" s="595" t="s">
        <v>198</v>
      </c>
      <c r="C54" s="595" t="s">
        <v>297</v>
      </c>
      <c r="D54" s="158" t="s">
        <v>297</v>
      </c>
      <c r="E54" s="605" t="s">
        <v>297</v>
      </c>
      <c r="F54" s="16">
        <v>2</v>
      </c>
      <c r="G54" s="5">
        <v>2</v>
      </c>
      <c r="H54" s="152">
        <v>32691</v>
      </c>
      <c r="I54" s="152">
        <v>41536</v>
      </c>
      <c r="J54" s="152">
        <v>42269</v>
      </c>
      <c r="K54" s="109">
        <f t="shared" si="2"/>
        <v>2.0082191780821916</v>
      </c>
      <c r="L54" s="109">
        <f t="shared" si="3"/>
        <v>24.098630136986301</v>
      </c>
      <c r="M54" s="22">
        <v>24.2</v>
      </c>
      <c r="N54" s="579">
        <v>26.2</v>
      </c>
      <c r="O54" s="90">
        <v>100</v>
      </c>
      <c r="P54" s="16">
        <v>6</v>
      </c>
      <c r="Q54" s="22">
        <v>12</v>
      </c>
      <c r="R54" s="16">
        <v>18</v>
      </c>
      <c r="S54" s="22">
        <v>16</v>
      </c>
      <c r="T54" s="16">
        <v>12</v>
      </c>
      <c r="U54" s="22">
        <v>8</v>
      </c>
      <c r="V54" s="16">
        <v>6</v>
      </c>
      <c r="W54" s="22">
        <v>8</v>
      </c>
      <c r="X54" s="16">
        <v>109.52</v>
      </c>
      <c r="Y54" s="16">
        <v>113.24</v>
      </c>
      <c r="Z54" s="484">
        <v>15</v>
      </c>
      <c r="AA54" s="22">
        <v>16.5</v>
      </c>
      <c r="AB54" s="508">
        <v>32</v>
      </c>
      <c r="AC54" s="508">
        <v>29</v>
      </c>
      <c r="AD54" s="508">
        <v>70</v>
      </c>
      <c r="AE54" s="508">
        <v>58</v>
      </c>
      <c r="AF54" s="641">
        <v>38</v>
      </c>
      <c r="AG54" s="641">
        <v>29</v>
      </c>
      <c r="AH54" s="287">
        <v>2.1875</v>
      </c>
      <c r="AI54" s="287">
        <v>2</v>
      </c>
      <c r="AJ54" s="16">
        <v>6</v>
      </c>
      <c r="AK54" s="508">
        <v>6</v>
      </c>
      <c r="AL54" s="16">
        <v>60</v>
      </c>
      <c r="AM54" s="91">
        <v>58</v>
      </c>
      <c r="AO54" s="91">
        <v>25.13</v>
      </c>
      <c r="AP54" s="91">
        <v>15.96</v>
      </c>
      <c r="AQ54" s="107">
        <v>215.71002525252524</v>
      </c>
      <c r="AR54" s="107">
        <v>20.262744684258017</v>
      </c>
      <c r="AS54" s="107">
        <v>24.240723895157867</v>
      </c>
      <c r="AT54" s="5" t="s">
        <v>143</v>
      </c>
      <c r="AU54" s="22">
        <v>63</v>
      </c>
      <c r="AV54" s="22">
        <v>0</v>
      </c>
      <c r="AW54" s="22">
        <v>1</v>
      </c>
      <c r="AX54" s="22">
        <v>1</v>
      </c>
      <c r="AY54" s="74">
        <v>98.44</v>
      </c>
      <c r="AZ54" s="30">
        <v>98.4375</v>
      </c>
      <c r="BA54" s="30">
        <v>1.56</v>
      </c>
      <c r="BB54" s="30">
        <v>1.56</v>
      </c>
      <c r="BC54" s="90">
        <v>59</v>
      </c>
      <c r="BD54" s="508">
        <v>60</v>
      </c>
      <c r="BE54" s="30">
        <v>0.61</v>
      </c>
      <c r="BF54" s="107">
        <v>0.63</v>
      </c>
      <c r="BG54" s="108" t="s">
        <v>67</v>
      </c>
      <c r="BH54" s="74">
        <v>100</v>
      </c>
      <c r="BI54" s="30">
        <v>97.619047619047635</v>
      </c>
      <c r="BJ54" s="30">
        <v>417.25</v>
      </c>
      <c r="BK54" s="30">
        <v>659.83333333333337</v>
      </c>
      <c r="BL54" s="30">
        <v>100</v>
      </c>
      <c r="BM54" s="30">
        <v>100</v>
      </c>
      <c r="BN54" s="30">
        <v>422.75</v>
      </c>
      <c r="BO54" s="30">
        <v>571.66666666666663</v>
      </c>
      <c r="BP54" s="30">
        <v>100</v>
      </c>
      <c r="BQ54" s="30">
        <v>98.809523809523824</v>
      </c>
      <c r="BR54" s="30">
        <v>420</v>
      </c>
      <c r="BS54" s="30">
        <v>615.75</v>
      </c>
      <c r="BT54" s="30">
        <v>36.562037808301277</v>
      </c>
      <c r="BU54" s="107">
        <v>162.63649785574765</v>
      </c>
      <c r="BV54" s="193">
        <v>100</v>
      </c>
      <c r="BW54" s="193">
        <v>100</v>
      </c>
      <c r="BX54" s="193">
        <v>355.33333333333331</v>
      </c>
      <c r="BY54" s="193">
        <v>458.5</v>
      </c>
      <c r="BZ54" s="193">
        <v>100</v>
      </c>
      <c r="CA54" s="193">
        <v>97.619047619047635</v>
      </c>
      <c r="CB54" s="193">
        <v>361.33333333333331</v>
      </c>
      <c r="CC54" s="193">
        <v>421.33333333333331</v>
      </c>
      <c r="CD54" s="193">
        <v>100</v>
      </c>
      <c r="CE54" s="193">
        <v>98.809523809523824</v>
      </c>
      <c r="CF54" s="193">
        <v>358.33333333333331</v>
      </c>
      <c r="CG54" s="193">
        <v>439.91666666666663</v>
      </c>
      <c r="CH54" s="193">
        <v>47.320982262827634</v>
      </c>
      <c r="CI54" s="107">
        <v>121.82878815447683</v>
      </c>
      <c r="CJ54" s="247" t="s">
        <v>296</v>
      </c>
      <c r="CK54" s="247" t="s">
        <v>296</v>
      </c>
      <c r="CM54" s="247" t="s">
        <v>296</v>
      </c>
      <c r="CO54" s="247" t="s">
        <v>296</v>
      </c>
      <c r="CQ54" s="247" t="s">
        <v>296</v>
      </c>
      <c r="CS54" s="247" t="s">
        <v>296</v>
      </c>
      <c r="CU54" s="247" t="s">
        <v>296</v>
      </c>
      <c r="CW54" s="247" t="s">
        <v>296</v>
      </c>
      <c r="CY54" s="247" t="s">
        <v>296</v>
      </c>
      <c r="DE54" s="570" t="s">
        <v>670</v>
      </c>
    </row>
    <row r="55" spans="1:109" x14ac:dyDescent="0.2">
      <c r="A55" s="216">
        <v>58.07</v>
      </c>
      <c r="B55" s="595" t="s">
        <v>214</v>
      </c>
      <c r="C55" s="595" t="s">
        <v>297</v>
      </c>
      <c r="D55" s="158" t="s">
        <v>297</v>
      </c>
      <c r="E55" s="605" t="s">
        <v>297</v>
      </c>
      <c r="F55" s="22">
        <v>2</v>
      </c>
      <c r="G55" s="5">
        <v>1</v>
      </c>
      <c r="H55" s="152">
        <v>31630</v>
      </c>
      <c r="I55" s="152">
        <v>41537</v>
      </c>
      <c r="J55" s="152">
        <v>42258</v>
      </c>
      <c r="K55" s="109">
        <f t="shared" si="2"/>
        <v>1.9753424657534246</v>
      </c>
      <c r="L55" s="109">
        <f t="shared" si="3"/>
        <v>23.704109589041096</v>
      </c>
      <c r="M55" s="22">
        <v>27.1</v>
      </c>
      <c r="N55" s="579">
        <v>29.1</v>
      </c>
      <c r="O55" s="90">
        <v>64</v>
      </c>
      <c r="P55" s="16">
        <v>14</v>
      </c>
      <c r="Q55" s="22">
        <v>11</v>
      </c>
      <c r="R55" s="16">
        <v>10</v>
      </c>
      <c r="S55" s="22">
        <v>10</v>
      </c>
      <c r="T55" s="16">
        <v>7</v>
      </c>
      <c r="U55" s="22">
        <v>6</v>
      </c>
      <c r="V55" s="16">
        <v>3</v>
      </c>
      <c r="W55" s="22">
        <v>4</v>
      </c>
      <c r="X55" s="16">
        <v>92.16</v>
      </c>
      <c r="Y55" s="16">
        <v>93.399999999999991</v>
      </c>
      <c r="Z55" s="484">
        <v>13</v>
      </c>
      <c r="AA55" s="22">
        <v>13</v>
      </c>
      <c r="AB55" s="508">
        <v>32</v>
      </c>
      <c r="AC55" s="508">
        <v>28</v>
      </c>
      <c r="AD55" s="508">
        <v>71</v>
      </c>
      <c r="AE55" s="508">
        <v>52</v>
      </c>
      <c r="AF55" s="641">
        <v>39</v>
      </c>
      <c r="AG55" s="641">
        <v>24</v>
      </c>
      <c r="AH55" s="287">
        <v>2.21875</v>
      </c>
      <c r="AI55" s="287">
        <v>1.8571428571428572</v>
      </c>
      <c r="AJ55" s="16">
        <v>7</v>
      </c>
      <c r="AK55" s="508">
        <v>8</v>
      </c>
      <c r="AL55" s="16">
        <v>49</v>
      </c>
      <c r="AM55" s="91">
        <v>53</v>
      </c>
      <c r="AN55" s="91">
        <v>198.64</v>
      </c>
      <c r="AO55" s="91">
        <v>20.84</v>
      </c>
      <c r="AP55" s="91">
        <v>26.14</v>
      </c>
      <c r="AQ55" s="107">
        <v>210.21504715651295</v>
      </c>
      <c r="AR55" s="107">
        <v>18.72315951669777</v>
      </c>
      <c r="AS55" s="107">
        <v>24.200831224903315</v>
      </c>
      <c r="AT55" s="5" t="s">
        <v>134</v>
      </c>
      <c r="AU55" s="16">
        <v>63</v>
      </c>
      <c r="AV55" s="16">
        <v>0</v>
      </c>
      <c r="AW55" s="16">
        <v>1</v>
      </c>
      <c r="AX55" s="16">
        <v>1</v>
      </c>
      <c r="AY55" s="74">
        <v>98.4375</v>
      </c>
      <c r="AZ55" s="30">
        <v>100</v>
      </c>
      <c r="BA55" s="30">
        <v>1.56</v>
      </c>
      <c r="BB55" s="30">
        <v>0</v>
      </c>
      <c r="BC55" s="90">
        <v>67</v>
      </c>
      <c r="BD55" s="508">
        <v>118</v>
      </c>
      <c r="BE55" s="30">
        <v>0.69791666666666663</v>
      </c>
      <c r="BF55" s="107">
        <v>1.23</v>
      </c>
      <c r="BG55" s="108" t="s">
        <v>67</v>
      </c>
      <c r="BH55" s="74">
        <v>100</v>
      </c>
      <c r="BI55" s="30">
        <v>100</v>
      </c>
      <c r="BJ55" s="30">
        <v>411.91666666666669</v>
      </c>
      <c r="BK55" s="30">
        <v>482.08333333333331</v>
      </c>
      <c r="BL55" s="30">
        <v>100</v>
      </c>
      <c r="BM55" s="30">
        <v>100</v>
      </c>
      <c r="BN55" s="30">
        <v>452</v>
      </c>
      <c r="BO55" s="30">
        <v>553.75</v>
      </c>
      <c r="BP55" s="30">
        <v>100</v>
      </c>
      <c r="BQ55" s="30">
        <v>100</v>
      </c>
      <c r="BR55" s="30">
        <v>431.95833333333337</v>
      </c>
      <c r="BS55" s="30">
        <v>517.91666666666663</v>
      </c>
      <c r="BT55" s="30">
        <v>73.962669295228579</v>
      </c>
      <c r="BU55" s="107">
        <v>139.72112493686549</v>
      </c>
      <c r="BV55" s="193">
        <v>100</v>
      </c>
      <c r="BW55" s="193">
        <v>100</v>
      </c>
      <c r="BX55" s="193">
        <v>426.75</v>
      </c>
      <c r="BY55" s="193">
        <v>557</v>
      </c>
      <c r="BZ55" s="193">
        <v>100</v>
      </c>
      <c r="CA55" s="193">
        <v>95.238095238095241</v>
      </c>
      <c r="CB55" s="193">
        <v>452.75</v>
      </c>
      <c r="CC55" s="193">
        <v>674.52777777777783</v>
      </c>
      <c r="CD55" s="193">
        <v>100</v>
      </c>
      <c r="CE55" s="193">
        <v>97.61904761904762</v>
      </c>
      <c r="CF55" s="193">
        <v>439.75</v>
      </c>
      <c r="CG55" s="193">
        <v>615.76388888888891</v>
      </c>
      <c r="CH55" s="193">
        <v>125.57978582835555</v>
      </c>
      <c r="CI55" s="107">
        <v>175.13730544226078</v>
      </c>
      <c r="CJ55" s="247" t="s">
        <v>296</v>
      </c>
      <c r="CK55" s="247" t="s">
        <v>296</v>
      </c>
      <c r="CM55" s="247" t="s">
        <v>296</v>
      </c>
      <c r="CO55" s="247" t="s">
        <v>296</v>
      </c>
      <c r="CQ55" s="247" t="s">
        <v>296</v>
      </c>
      <c r="CS55" s="247" t="s">
        <v>296</v>
      </c>
      <c r="CU55" s="247" t="s">
        <v>296</v>
      </c>
      <c r="CW55" s="247" t="s">
        <v>296</v>
      </c>
      <c r="CY55" s="247" t="s">
        <v>296</v>
      </c>
      <c r="DE55" s="570" t="s">
        <v>655</v>
      </c>
    </row>
    <row r="56" spans="1:109" x14ac:dyDescent="0.2">
      <c r="A56" s="216">
        <v>58.08</v>
      </c>
      <c r="B56" s="595" t="s">
        <v>801</v>
      </c>
      <c r="C56" s="595" t="s">
        <v>297</v>
      </c>
      <c r="D56" s="158" t="s">
        <v>297</v>
      </c>
      <c r="E56" s="605" t="s">
        <v>297</v>
      </c>
      <c r="F56" s="22">
        <v>2</v>
      </c>
      <c r="G56" s="5">
        <v>2</v>
      </c>
      <c r="H56" s="152">
        <v>29314</v>
      </c>
      <c r="I56" s="152">
        <v>41540</v>
      </c>
      <c r="J56" s="152">
        <v>42237</v>
      </c>
      <c r="K56" s="109">
        <f t="shared" si="2"/>
        <v>1.9095890410958904</v>
      </c>
      <c r="L56" s="109">
        <f t="shared" si="3"/>
        <v>22.915068493150685</v>
      </c>
      <c r="M56" s="22">
        <v>33.4</v>
      </c>
      <c r="N56" s="579">
        <v>35.299999999999997</v>
      </c>
      <c r="O56" s="90">
        <v>82</v>
      </c>
      <c r="P56" s="16">
        <v>3</v>
      </c>
      <c r="Q56" s="22">
        <v>3</v>
      </c>
      <c r="R56" s="16">
        <v>22</v>
      </c>
      <c r="S56" s="22">
        <v>24</v>
      </c>
      <c r="T56" s="16">
        <v>13</v>
      </c>
      <c r="U56" s="22">
        <v>14</v>
      </c>
      <c r="V56" s="16">
        <v>9</v>
      </c>
      <c r="W56" s="22">
        <v>10</v>
      </c>
      <c r="X56" s="16">
        <v>103.32</v>
      </c>
      <c r="Y56" s="22">
        <v>112</v>
      </c>
      <c r="Z56" s="484">
        <v>19</v>
      </c>
      <c r="AA56" s="22">
        <v>21</v>
      </c>
      <c r="AB56" s="508">
        <v>21</v>
      </c>
      <c r="AC56" s="508">
        <v>21</v>
      </c>
      <c r="AD56" s="508">
        <v>44</v>
      </c>
      <c r="AE56" s="508">
        <v>41</v>
      </c>
      <c r="AF56" s="641">
        <v>23</v>
      </c>
      <c r="AG56" s="641">
        <v>20</v>
      </c>
      <c r="AH56" s="287">
        <v>2.0952380952380953</v>
      </c>
      <c r="AI56" s="287">
        <v>1.9523809523809523</v>
      </c>
      <c r="AJ56" s="16">
        <v>7</v>
      </c>
      <c r="AK56" s="508">
        <v>9</v>
      </c>
      <c r="AL56" s="16">
        <v>65</v>
      </c>
      <c r="AM56" s="91">
        <v>69</v>
      </c>
      <c r="AN56" s="91">
        <v>197.02</v>
      </c>
      <c r="AO56" s="91">
        <v>12.63</v>
      </c>
      <c r="AP56" s="91">
        <v>34.93</v>
      </c>
      <c r="AQ56" s="107">
        <v>178.29593972065669</v>
      </c>
      <c r="AR56" s="107">
        <v>20.776599572012103</v>
      </c>
      <c r="AS56" s="107">
        <v>34.280160874834735</v>
      </c>
      <c r="AT56" s="5" t="s">
        <v>143</v>
      </c>
      <c r="AU56" s="22">
        <v>64</v>
      </c>
      <c r="AV56" s="22">
        <v>0</v>
      </c>
      <c r="AW56" s="22">
        <v>0</v>
      </c>
      <c r="AX56" s="22">
        <v>0</v>
      </c>
      <c r="AY56" s="74">
        <v>100</v>
      </c>
      <c r="AZ56" s="30">
        <v>100</v>
      </c>
      <c r="BA56" s="30">
        <v>0</v>
      </c>
      <c r="BB56" s="30">
        <v>0</v>
      </c>
      <c r="BC56" s="90">
        <v>75</v>
      </c>
      <c r="BD56" s="508">
        <v>65</v>
      </c>
      <c r="BE56" s="30">
        <v>0.78125</v>
      </c>
      <c r="BF56" s="107">
        <v>0.68</v>
      </c>
      <c r="BG56" s="108" t="s">
        <v>68</v>
      </c>
      <c r="BH56" s="74">
        <v>100</v>
      </c>
      <c r="BI56" s="30">
        <v>95.238095238095241</v>
      </c>
      <c r="BJ56" s="30">
        <v>467</v>
      </c>
      <c r="BK56" s="30">
        <v>470.25</v>
      </c>
      <c r="BL56" s="30">
        <v>100</v>
      </c>
      <c r="BM56" s="30">
        <v>100</v>
      </c>
      <c r="BN56" s="30">
        <v>501.41666666666669</v>
      </c>
      <c r="BO56" s="30">
        <v>469.58333333333331</v>
      </c>
      <c r="BP56" s="30">
        <v>100</v>
      </c>
      <c r="BQ56" s="30">
        <v>97.61904761904762</v>
      </c>
      <c r="BR56" s="30">
        <v>484.20833333333337</v>
      </c>
      <c r="BS56" s="30">
        <v>469.91666666666663</v>
      </c>
      <c r="BT56" s="30">
        <v>65.834429453358695</v>
      </c>
      <c r="BU56" s="107">
        <v>68.326691684412651</v>
      </c>
      <c r="BV56" s="193">
        <v>100</v>
      </c>
      <c r="BW56" s="193">
        <v>95.238095238095241</v>
      </c>
      <c r="BX56" s="193">
        <v>479.25</v>
      </c>
      <c r="BY56" s="193">
        <v>542.94444444444446</v>
      </c>
      <c r="BZ56" s="193">
        <v>97.619047619047635</v>
      </c>
      <c r="CA56" s="193">
        <v>100</v>
      </c>
      <c r="CB56" s="193">
        <v>552.25</v>
      </c>
      <c r="CC56" s="193">
        <v>520</v>
      </c>
      <c r="CD56" s="193">
        <v>98.809523809523824</v>
      </c>
      <c r="CE56" s="193">
        <v>97.61904761904762</v>
      </c>
      <c r="CF56" s="193">
        <v>515.75</v>
      </c>
      <c r="CG56" s="193">
        <v>531.47222222222217</v>
      </c>
      <c r="CH56" s="193">
        <v>71.095924178412716</v>
      </c>
      <c r="CI56" s="107">
        <v>125.31287326341855</v>
      </c>
      <c r="CJ56" s="247" t="s">
        <v>296</v>
      </c>
      <c r="CK56" s="247" t="s">
        <v>296</v>
      </c>
      <c r="CM56" s="247" t="s">
        <v>296</v>
      </c>
      <c r="CO56" s="247" t="s">
        <v>296</v>
      </c>
      <c r="CQ56" s="247" t="s">
        <v>296</v>
      </c>
      <c r="CS56" s="247" t="s">
        <v>296</v>
      </c>
      <c r="CU56" s="247" t="s">
        <v>296</v>
      </c>
      <c r="CW56" s="247" t="s">
        <v>296</v>
      </c>
      <c r="CY56" s="247" t="s">
        <v>296</v>
      </c>
      <c r="DE56" s="570" t="s">
        <v>655</v>
      </c>
    </row>
    <row r="57" spans="1:109" x14ac:dyDescent="0.2">
      <c r="A57" s="216">
        <v>58.09</v>
      </c>
      <c r="B57" s="595" t="s">
        <v>221</v>
      </c>
      <c r="C57" s="595" t="s">
        <v>297</v>
      </c>
      <c r="D57" s="158" t="s">
        <v>297</v>
      </c>
      <c r="E57" s="605" t="s">
        <v>297</v>
      </c>
      <c r="F57" s="22">
        <v>2</v>
      </c>
      <c r="G57" s="5">
        <v>1</v>
      </c>
      <c r="H57" s="152">
        <v>27844</v>
      </c>
      <c r="I57" s="152">
        <v>41543</v>
      </c>
      <c r="J57" s="152">
        <v>42300</v>
      </c>
      <c r="K57" s="109">
        <f t="shared" si="2"/>
        <v>2.0739726027397261</v>
      </c>
      <c r="L57" s="109">
        <f t="shared" si="3"/>
        <v>24.887671232876713</v>
      </c>
      <c r="M57" s="22">
        <v>37.5</v>
      </c>
      <c r="N57" s="579">
        <v>39.6</v>
      </c>
      <c r="O57" s="90">
        <v>100</v>
      </c>
      <c r="P57" s="16">
        <v>0</v>
      </c>
      <c r="Q57" s="22">
        <v>0</v>
      </c>
      <c r="R57" s="16">
        <v>15</v>
      </c>
      <c r="S57" s="22">
        <v>16</v>
      </c>
      <c r="T57" s="16">
        <v>10</v>
      </c>
      <c r="U57" s="22">
        <v>10</v>
      </c>
      <c r="V57" s="16">
        <v>5</v>
      </c>
      <c r="W57" s="22">
        <v>6</v>
      </c>
      <c r="X57" s="16">
        <v>105.8</v>
      </c>
      <c r="Y57" s="16">
        <v>105.8</v>
      </c>
      <c r="Z57" s="484">
        <v>18</v>
      </c>
      <c r="AA57" s="22">
        <v>18</v>
      </c>
      <c r="AB57" s="508">
        <v>35</v>
      </c>
      <c r="AC57" s="508">
        <v>31</v>
      </c>
      <c r="AD57" s="508">
        <v>56</v>
      </c>
      <c r="AE57" s="508">
        <v>56</v>
      </c>
      <c r="AF57" s="641">
        <v>21</v>
      </c>
      <c r="AG57" s="641">
        <v>25</v>
      </c>
      <c r="AH57" s="287">
        <v>1.6</v>
      </c>
      <c r="AI57" s="287">
        <v>1.8064516129032258</v>
      </c>
      <c r="AJ57" s="16">
        <v>4</v>
      </c>
      <c r="AK57" s="508">
        <v>5</v>
      </c>
      <c r="AL57" s="16">
        <v>67</v>
      </c>
      <c r="AM57" s="91">
        <v>68</v>
      </c>
      <c r="AN57" s="91">
        <v>203.83</v>
      </c>
      <c r="AO57" s="91">
        <v>12.36</v>
      </c>
      <c r="AP57" s="91">
        <v>21.23</v>
      </c>
      <c r="AQ57" s="107">
        <v>220.27686601495111</v>
      </c>
      <c r="AR57" s="107">
        <v>16.170685101410122</v>
      </c>
      <c r="AS57" s="107">
        <v>29.170445694933655</v>
      </c>
      <c r="AT57" s="5" t="s">
        <v>134</v>
      </c>
      <c r="AU57" s="16">
        <v>63</v>
      </c>
      <c r="AV57" s="16">
        <v>0</v>
      </c>
      <c r="AW57" s="16">
        <v>1</v>
      </c>
      <c r="AX57" s="16">
        <v>1</v>
      </c>
      <c r="AY57" s="74">
        <v>98.4375</v>
      </c>
      <c r="AZ57" s="30">
        <v>96.88</v>
      </c>
      <c r="BA57" s="30">
        <v>1.56</v>
      </c>
      <c r="BB57" s="30">
        <v>3.12</v>
      </c>
      <c r="BC57" s="90">
        <v>57</v>
      </c>
      <c r="BD57" s="508">
        <v>57</v>
      </c>
      <c r="BE57" s="30">
        <v>0.59375</v>
      </c>
      <c r="BF57" s="107">
        <v>0.59</v>
      </c>
      <c r="BG57" s="108" t="s">
        <v>68</v>
      </c>
      <c r="BH57" s="74">
        <v>100</v>
      </c>
      <c r="BI57" s="30">
        <v>95.238095238095241</v>
      </c>
      <c r="BJ57" s="30">
        <v>452.5</v>
      </c>
      <c r="BK57" s="30">
        <v>435.6944444444444</v>
      </c>
      <c r="BL57" s="30">
        <v>100</v>
      </c>
      <c r="BM57" s="30">
        <v>100</v>
      </c>
      <c r="BN57" s="30">
        <v>432.25</v>
      </c>
      <c r="BO57" s="30">
        <v>462.5</v>
      </c>
      <c r="BP57" s="30">
        <v>100</v>
      </c>
      <c r="BQ57" s="30">
        <v>97.61904761904762</v>
      </c>
      <c r="BR57" s="30">
        <v>442.375</v>
      </c>
      <c r="BS57" s="30">
        <v>449.09722222222217</v>
      </c>
      <c r="BT57" s="30">
        <v>79.82361669711976</v>
      </c>
      <c r="BU57" s="107">
        <v>144.9398218159935</v>
      </c>
      <c r="CJ57" s="247" t="s">
        <v>296</v>
      </c>
      <c r="CK57" s="247" t="s">
        <v>296</v>
      </c>
      <c r="CM57" s="247" t="s">
        <v>296</v>
      </c>
      <c r="CO57" s="247" t="s">
        <v>296</v>
      </c>
      <c r="CQ57" s="247" t="s">
        <v>296</v>
      </c>
      <c r="CS57" s="247" t="s">
        <v>296</v>
      </c>
      <c r="CU57" s="247" t="s">
        <v>296</v>
      </c>
      <c r="CW57" s="247" t="s">
        <v>296</v>
      </c>
      <c r="CY57" s="311" t="s">
        <v>297</v>
      </c>
      <c r="CZ57" s="311" t="s">
        <v>350</v>
      </c>
      <c r="DA57" s="311"/>
      <c r="DB57" s="311"/>
      <c r="DC57" s="311"/>
      <c r="DD57" s="311"/>
      <c r="DE57" s="570" t="s">
        <v>655</v>
      </c>
    </row>
    <row r="58" spans="1:109" x14ac:dyDescent="0.2">
      <c r="A58" s="216">
        <v>58.1</v>
      </c>
      <c r="B58" s="595" t="s">
        <v>241</v>
      </c>
      <c r="F58" s="22">
        <v>2</v>
      </c>
      <c r="G58" s="5">
        <v>2</v>
      </c>
      <c r="H58" s="152">
        <v>32939</v>
      </c>
      <c r="I58" s="152">
        <v>41550</v>
      </c>
      <c r="J58" s="152"/>
      <c r="K58" s="109"/>
      <c r="L58" s="109"/>
      <c r="M58" s="22">
        <v>23.6</v>
      </c>
      <c r="N58" s="579"/>
      <c r="O58" s="90">
        <v>67</v>
      </c>
      <c r="P58" s="16">
        <v>9</v>
      </c>
      <c r="R58" s="16">
        <v>15</v>
      </c>
      <c r="T58" s="16">
        <v>10</v>
      </c>
      <c r="V58" s="16">
        <v>5</v>
      </c>
      <c r="X58" s="16">
        <v>105.8</v>
      </c>
      <c r="Z58" s="484">
        <v>17</v>
      </c>
      <c r="AB58" s="508">
        <v>50</v>
      </c>
      <c r="AD58" s="508">
        <v>70</v>
      </c>
      <c r="AF58" s="641">
        <v>20</v>
      </c>
      <c r="AG58" s="641"/>
      <c r="AH58" s="287">
        <v>1.4</v>
      </c>
      <c r="AI58" s="287"/>
      <c r="AJ58" s="16">
        <v>6</v>
      </c>
      <c r="AL58" s="16">
        <v>52</v>
      </c>
      <c r="AN58" s="91">
        <v>201.78</v>
      </c>
      <c r="AO58" s="91">
        <v>30.77</v>
      </c>
      <c r="AP58" s="91">
        <v>42.64</v>
      </c>
      <c r="AT58" s="5" t="s">
        <v>143</v>
      </c>
      <c r="AU58" s="16">
        <v>62</v>
      </c>
      <c r="AV58" s="16">
        <v>1</v>
      </c>
      <c r="AW58" s="16">
        <v>1</v>
      </c>
      <c r="AX58" s="16">
        <v>2</v>
      </c>
      <c r="AY58" s="74">
        <v>96.875</v>
      </c>
      <c r="BA58" s="30">
        <v>3.12</v>
      </c>
      <c r="BC58" s="90">
        <v>102</v>
      </c>
      <c r="BE58" s="30">
        <v>1.0625</v>
      </c>
      <c r="BG58" s="108" t="s">
        <v>67</v>
      </c>
      <c r="BH58" s="74">
        <v>97.619047619047635</v>
      </c>
      <c r="BI58" s="30">
        <v>100</v>
      </c>
      <c r="BJ58" s="30">
        <v>399.91666666666669</v>
      </c>
      <c r="BK58" s="30">
        <v>445</v>
      </c>
      <c r="BL58" s="30">
        <v>100</v>
      </c>
      <c r="BM58" s="30">
        <v>100</v>
      </c>
      <c r="BN58" s="30">
        <v>471.08333333333331</v>
      </c>
      <c r="BO58" s="30">
        <v>354.5</v>
      </c>
      <c r="BP58" s="30">
        <v>98.809523809523824</v>
      </c>
      <c r="BQ58" s="30">
        <v>100</v>
      </c>
      <c r="BR58" s="30">
        <v>435.5</v>
      </c>
      <c r="BS58" s="30">
        <v>399.75</v>
      </c>
      <c r="BT58" s="30">
        <v>75.812698259535026</v>
      </c>
      <c r="BU58" s="107">
        <v>106.16363497593866</v>
      </c>
      <c r="CJ58" s="247" t="s">
        <v>296</v>
      </c>
      <c r="CK58" s="311" t="s">
        <v>352</v>
      </c>
      <c r="CL58" s="320"/>
      <c r="CM58" s="311" t="s">
        <v>351</v>
      </c>
      <c r="CN58" s="311"/>
      <c r="CO58" s="311" t="s">
        <v>351</v>
      </c>
      <c r="CP58" s="320"/>
      <c r="CQ58" s="311" t="s">
        <v>351</v>
      </c>
      <c r="CR58" s="311"/>
      <c r="CS58" s="311" t="s">
        <v>351</v>
      </c>
      <c r="CT58" s="320"/>
      <c r="CU58" s="311" t="s">
        <v>351</v>
      </c>
      <c r="CV58" s="311"/>
      <c r="CW58" s="311" t="s">
        <v>351</v>
      </c>
      <c r="CX58" s="320"/>
      <c r="CY58" s="311" t="s">
        <v>351</v>
      </c>
      <c r="CZ58" s="311"/>
      <c r="DA58" s="311"/>
      <c r="DB58" s="311"/>
      <c r="DC58" s="311"/>
      <c r="DD58" s="311"/>
      <c r="DE58" s="570"/>
    </row>
    <row r="59" spans="1:109" x14ac:dyDescent="0.2">
      <c r="A59" s="216">
        <v>58.11</v>
      </c>
      <c r="B59" s="595" t="s">
        <v>245</v>
      </c>
      <c r="C59" s="595" t="s">
        <v>297</v>
      </c>
      <c r="D59" s="158" t="s">
        <v>297</v>
      </c>
      <c r="E59" s="605" t="s">
        <v>297</v>
      </c>
      <c r="F59" s="22">
        <v>2</v>
      </c>
      <c r="G59" s="5">
        <v>1</v>
      </c>
      <c r="H59" s="152">
        <v>32211</v>
      </c>
      <c r="I59" s="152">
        <v>41555</v>
      </c>
      <c r="J59" s="152">
        <v>42355</v>
      </c>
      <c r="K59" s="109">
        <f t="shared" si="2"/>
        <v>2.1917808219178081</v>
      </c>
      <c r="L59" s="109">
        <f t="shared" si="3"/>
        <v>26.301369863013697</v>
      </c>
      <c r="M59" s="22">
        <v>25.6</v>
      </c>
      <c r="N59" s="579">
        <v>27.8</v>
      </c>
      <c r="O59" s="90">
        <v>100</v>
      </c>
      <c r="P59" s="16">
        <v>1</v>
      </c>
      <c r="Q59" s="22">
        <v>5</v>
      </c>
      <c r="R59" s="16">
        <v>18</v>
      </c>
      <c r="S59" s="22">
        <v>16</v>
      </c>
      <c r="T59" s="16">
        <v>11</v>
      </c>
      <c r="U59" s="22">
        <v>10</v>
      </c>
      <c r="V59" s="16">
        <v>7</v>
      </c>
      <c r="W59" s="22">
        <v>6</v>
      </c>
      <c r="X59" s="16">
        <v>103.32</v>
      </c>
      <c r="Y59" s="16">
        <v>112</v>
      </c>
      <c r="Z59" s="484">
        <v>16</v>
      </c>
      <c r="AA59" s="22">
        <v>16</v>
      </c>
      <c r="AB59" s="508">
        <v>37</v>
      </c>
      <c r="AC59" s="508">
        <v>38</v>
      </c>
      <c r="AD59" s="508">
        <v>137</v>
      </c>
      <c r="AE59" s="508">
        <v>96</v>
      </c>
      <c r="AF59" s="641">
        <v>100</v>
      </c>
      <c r="AG59" s="641">
        <v>58</v>
      </c>
      <c r="AH59" s="287">
        <v>3.7027027027027026</v>
      </c>
      <c r="AI59" s="287">
        <v>2.5263157894736841</v>
      </c>
      <c r="AJ59" s="16">
        <v>6</v>
      </c>
      <c r="AK59" s="508">
        <v>6</v>
      </c>
      <c r="AL59" s="16">
        <v>50</v>
      </c>
      <c r="AM59" s="91">
        <v>56</v>
      </c>
      <c r="AN59" s="91">
        <v>203.72</v>
      </c>
      <c r="AO59" s="91">
        <v>26.98</v>
      </c>
      <c r="AP59" s="91">
        <v>30.17</v>
      </c>
      <c r="AQ59" s="107">
        <v>187.28417893427326</v>
      </c>
      <c r="AR59" s="107">
        <v>28.980726933317595</v>
      </c>
      <c r="AS59" s="344">
        <v>24.75</v>
      </c>
      <c r="AT59" s="5" t="s">
        <v>134</v>
      </c>
      <c r="AU59" s="16">
        <v>63</v>
      </c>
      <c r="AV59" s="16">
        <v>0</v>
      </c>
      <c r="AW59" s="16">
        <v>1</v>
      </c>
      <c r="AX59" s="16">
        <v>1</v>
      </c>
      <c r="AY59" s="74">
        <v>98.4375</v>
      </c>
      <c r="AZ59" s="30">
        <v>100</v>
      </c>
      <c r="BA59" s="30">
        <v>1.56</v>
      </c>
      <c r="BB59" s="30">
        <v>0</v>
      </c>
      <c r="BC59" s="90">
        <v>64</v>
      </c>
      <c r="BD59" s="508">
        <v>80</v>
      </c>
      <c r="BE59" s="30">
        <v>0.66666666666666663</v>
      </c>
      <c r="BF59" s="107">
        <v>0.83</v>
      </c>
      <c r="BG59" s="108" t="s">
        <v>67</v>
      </c>
      <c r="BH59" s="74">
        <v>100</v>
      </c>
      <c r="BI59" s="30">
        <v>100</v>
      </c>
      <c r="BJ59" s="30">
        <v>442.41666666666669</v>
      </c>
      <c r="BK59" s="30">
        <v>456</v>
      </c>
      <c r="BL59" s="30">
        <v>100</v>
      </c>
      <c r="BM59" s="30">
        <v>100</v>
      </c>
      <c r="BN59" s="30">
        <v>481.25</v>
      </c>
      <c r="BO59" s="30">
        <v>386.66666666666669</v>
      </c>
      <c r="BP59" s="30">
        <v>100</v>
      </c>
      <c r="BQ59" s="30">
        <v>100</v>
      </c>
      <c r="BR59" s="30">
        <v>461.83333333333337</v>
      </c>
      <c r="BS59" s="30">
        <v>421.33333333333337</v>
      </c>
      <c r="BT59" s="30">
        <v>71.466420613896048</v>
      </c>
      <c r="BU59" s="107">
        <v>164.50126645915725</v>
      </c>
      <c r="BV59" s="193">
        <v>95.238095238095241</v>
      </c>
      <c r="BW59" s="193">
        <v>100</v>
      </c>
      <c r="BX59" s="193">
        <v>487.75</v>
      </c>
      <c r="BY59" s="193">
        <v>418.5</v>
      </c>
      <c r="BZ59" s="193">
        <v>100</v>
      </c>
      <c r="CA59" s="193">
        <v>100</v>
      </c>
      <c r="CB59" s="193">
        <v>516.25</v>
      </c>
      <c r="CC59" s="193">
        <v>671.91666666666663</v>
      </c>
      <c r="CD59" s="193">
        <v>97.61904761904762</v>
      </c>
      <c r="CE59" s="193">
        <v>100</v>
      </c>
      <c r="CF59" s="193">
        <v>502</v>
      </c>
      <c r="CG59" s="193">
        <v>545.20833333333326</v>
      </c>
      <c r="CH59" s="193">
        <v>104.15062063500206</v>
      </c>
      <c r="CI59" s="107">
        <v>192.75846096958313</v>
      </c>
      <c r="CJ59" s="247" t="s">
        <v>296</v>
      </c>
      <c r="CK59" s="247" t="s">
        <v>296</v>
      </c>
      <c r="CM59" s="247" t="s">
        <v>296</v>
      </c>
      <c r="CO59" s="247" t="s">
        <v>296</v>
      </c>
      <c r="CQ59" s="247" t="s">
        <v>296</v>
      </c>
      <c r="CS59" s="247" t="s">
        <v>296</v>
      </c>
      <c r="CU59" s="247" t="s">
        <v>296</v>
      </c>
      <c r="CW59" s="311" t="s">
        <v>297</v>
      </c>
      <c r="CX59" s="320" t="s">
        <v>526</v>
      </c>
      <c r="CY59" s="247" t="s">
        <v>296</v>
      </c>
      <c r="DE59" s="570"/>
    </row>
    <row r="60" spans="1:109" x14ac:dyDescent="0.2">
      <c r="A60" s="216">
        <v>58.12</v>
      </c>
      <c r="B60" s="595" t="s">
        <v>248</v>
      </c>
      <c r="C60" s="595" t="s">
        <v>297</v>
      </c>
      <c r="D60" s="158" t="s">
        <v>297</v>
      </c>
      <c r="E60" s="605" t="s">
        <v>297</v>
      </c>
      <c r="F60" s="22">
        <v>2</v>
      </c>
      <c r="G60" s="5">
        <v>2</v>
      </c>
      <c r="H60" s="152">
        <v>30579</v>
      </c>
      <c r="I60" s="152">
        <v>41557</v>
      </c>
      <c r="J60" s="152">
        <v>42431</v>
      </c>
      <c r="K60" s="109">
        <f t="shared" si="2"/>
        <v>2.3945205479452056</v>
      </c>
      <c r="L60" s="109">
        <f t="shared" si="3"/>
        <v>28.734246575342468</v>
      </c>
      <c r="M60" s="22">
        <v>30.1</v>
      </c>
      <c r="N60" s="579">
        <v>32.4</v>
      </c>
      <c r="O60" s="90">
        <v>100</v>
      </c>
      <c r="P60" s="16">
        <v>0</v>
      </c>
      <c r="Q60" s="22">
        <v>0</v>
      </c>
      <c r="R60" s="16">
        <v>23</v>
      </c>
      <c r="S60" s="22">
        <v>23</v>
      </c>
      <c r="T60" s="16">
        <v>15</v>
      </c>
      <c r="U60" s="22">
        <v>14</v>
      </c>
      <c r="V60" s="16">
        <v>8</v>
      </c>
      <c r="W60" s="22">
        <v>9</v>
      </c>
      <c r="X60" s="16">
        <v>110.75999999999999</v>
      </c>
      <c r="Y60" s="16">
        <v>114.47999999999999</v>
      </c>
      <c r="Z60" s="484">
        <v>15</v>
      </c>
      <c r="AA60" s="22">
        <v>16</v>
      </c>
      <c r="AB60" s="508">
        <v>22</v>
      </c>
      <c r="AC60" s="508">
        <v>26</v>
      </c>
      <c r="AD60" s="508">
        <v>86</v>
      </c>
      <c r="AE60" s="508">
        <v>55</v>
      </c>
      <c r="AF60" s="641">
        <v>64</v>
      </c>
      <c r="AG60" s="641">
        <v>29</v>
      </c>
      <c r="AH60" s="287">
        <v>3.9090909090909092</v>
      </c>
      <c r="AI60" s="287">
        <v>2.1153846153846154</v>
      </c>
      <c r="AJ60" s="16">
        <v>6</v>
      </c>
      <c r="AK60" s="508">
        <v>6</v>
      </c>
      <c r="AL60" s="16">
        <v>55</v>
      </c>
      <c r="AM60" s="91">
        <v>62</v>
      </c>
      <c r="AN60" s="91">
        <v>205.87</v>
      </c>
      <c r="AO60" s="91">
        <v>15.61</v>
      </c>
      <c r="AP60" s="91">
        <v>22.8</v>
      </c>
      <c r="AQ60" s="649">
        <v>230.69322705324549</v>
      </c>
      <c r="AR60" s="107">
        <v>28.014887285658091</v>
      </c>
      <c r="AS60" s="107">
        <v>23.186218037502165</v>
      </c>
      <c r="AT60" s="5" t="s">
        <v>143</v>
      </c>
      <c r="AU60" s="22">
        <v>64</v>
      </c>
      <c r="AV60" s="22">
        <v>0</v>
      </c>
      <c r="AW60" s="22">
        <v>0</v>
      </c>
      <c r="AX60" s="22">
        <v>0</v>
      </c>
      <c r="AY60" s="74">
        <v>100</v>
      </c>
      <c r="AZ60" s="30">
        <v>100</v>
      </c>
      <c r="BA60" s="30">
        <v>0</v>
      </c>
      <c r="BB60" s="30">
        <v>0</v>
      </c>
      <c r="BC60" s="90">
        <v>70</v>
      </c>
      <c r="BD60" s="508">
        <v>64</v>
      </c>
      <c r="BE60" s="30">
        <v>0.73</v>
      </c>
      <c r="BF60" s="107">
        <v>0.67</v>
      </c>
      <c r="BG60" s="108" t="s">
        <v>68</v>
      </c>
      <c r="BH60" s="74">
        <v>100</v>
      </c>
      <c r="BI60" s="30">
        <v>100</v>
      </c>
      <c r="BJ60" s="30">
        <v>454.08333333333331</v>
      </c>
      <c r="BK60" s="30">
        <v>595</v>
      </c>
      <c r="BL60" s="30">
        <v>100</v>
      </c>
      <c r="BM60" s="30">
        <v>100</v>
      </c>
      <c r="BN60" s="30">
        <v>600.5</v>
      </c>
      <c r="BO60" s="30">
        <v>492.91666666666669</v>
      </c>
      <c r="BP60" s="30">
        <v>100</v>
      </c>
      <c r="BQ60" s="30">
        <v>100</v>
      </c>
      <c r="BR60" s="30">
        <v>527.29166666666663</v>
      </c>
      <c r="BS60" s="30">
        <v>543.95833333333337</v>
      </c>
      <c r="BT60" s="30">
        <v>288.14300181117295</v>
      </c>
      <c r="BU60" s="107">
        <v>167.13922318694742</v>
      </c>
      <c r="BV60" s="193">
        <v>100</v>
      </c>
      <c r="BW60" s="193">
        <v>97.619047619047635</v>
      </c>
      <c r="BX60" s="193">
        <v>482.91666666666669</v>
      </c>
      <c r="BY60" s="193">
        <v>508.33333333333331</v>
      </c>
      <c r="BZ60" s="193">
        <v>100</v>
      </c>
      <c r="CA60" s="193">
        <v>95.238095238095241</v>
      </c>
      <c r="CB60" s="193">
        <v>491.41666666666669</v>
      </c>
      <c r="CC60" s="193">
        <v>507.0555555555556</v>
      </c>
      <c r="CD60" s="193">
        <v>100</v>
      </c>
      <c r="CE60" s="193">
        <v>96.428571428571445</v>
      </c>
      <c r="CF60" s="193">
        <v>487.16666666666669</v>
      </c>
      <c r="CG60" s="193">
        <v>507.69444444444446</v>
      </c>
      <c r="CH60" s="193">
        <v>97.563654434767116</v>
      </c>
      <c r="CI60" s="107">
        <v>111.92758172042997</v>
      </c>
      <c r="CJ60" s="247" t="s">
        <v>296</v>
      </c>
      <c r="CK60" s="247" t="s">
        <v>296</v>
      </c>
      <c r="CM60" s="311" t="s">
        <v>349</v>
      </c>
      <c r="CN60" s="311"/>
      <c r="CO60" s="247" t="s">
        <v>296</v>
      </c>
      <c r="CQ60" s="311" t="s">
        <v>349</v>
      </c>
      <c r="CR60" s="311"/>
      <c r="CS60" s="247" t="s">
        <v>296</v>
      </c>
      <c r="CU60" s="311" t="s">
        <v>349</v>
      </c>
      <c r="CV60" s="311"/>
      <c r="CW60" s="247" t="s">
        <v>296</v>
      </c>
      <c r="CY60" s="311" t="s">
        <v>297</v>
      </c>
      <c r="CZ60" s="311" t="s">
        <v>591</v>
      </c>
      <c r="DA60" s="311"/>
      <c r="DB60" s="311"/>
      <c r="DC60" s="311"/>
      <c r="DD60" s="311"/>
      <c r="DE60" s="570" t="s">
        <v>656</v>
      </c>
    </row>
    <row r="61" spans="1:109" x14ac:dyDescent="0.2">
      <c r="A61" s="216">
        <v>58.13</v>
      </c>
      <c r="B61" s="595" t="s">
        <v>255</v>
      </c>
      <c r="C61" s="595" t="s">
        <v>297</v>
      </c>
      <c r="D61" s="158" t="s">
        <v>296</v>
      </c>
      <c r="E61" s="605" t="s">
        <v>297</v>
      </c>
      <c r="F61" s="22">
        <v>2</v>
      </c>
      <c r="G61" s="5">
        <v>2</v>
      </c>
      <c r="H61" s="152">
        <v>32215</v>
      </c>
      <c r="I61" s="152">
        <v>41558</v>
      </c>
      <c r="J61" s="152">
        <v>42290</v>
      </c>
      <c r="K61" s="109">
        <f t="shared" si="2"/>
        <v>2.0054794520547947</v>
      </c>
      <c r="L61" s="109">
        <f t="shared" si="3"/>
        <v>24.065753424657537</v>
      </c>
      <c r="M61" s="22">
        <v>25.6</v>
      </c>
      <c r="N61" s="579">
        <v>27.6</v>
      </c>
      <c r="O61" s="90">
        <v>100</v>
      </c>
      <c r="P61" s="16">
        <v>0</v>
      </c>
      <c r="Q61" s="22">
        <v>0</v>
      </c>
      <c r="R61" s="16">
        <v>12</v>
      </c>
      <c r="S61" s="22">
        <v>17</v>
      </c>
      <c r="T61" s="16">
        <v>7</v>
      </c>
      <c r="U61" s="22">
        <v>9</v>
      </c>
      <c r="V61" s="16">
        <v>5</v>
      </c>
      <c r="W61" s="22">
        <v>8</v>
      </c>
      <c r="X61" s="16">
        <v>107.03999999999999</v>
      </c>
      <c r="Y61" s="16">
        <v>112</v>
      </c>
      <c r="Z61" s="484">
        <v>17</v>
      </c>
      <c r="AA61" s="22">
        <v>19</v>
      </c>
      <c r="AB61" s="508">
        <v>21</v>
      </c>
      <c r="AC61" s="508">
        <v>15</v>
      </c>
      <c r="AD61" s="508">
        <v>62</v>
      </c>
      <c r="AE61" s="508">
        <v>43</v>
      </c>
      <c r="AF61" s="641">
        <v>41</v>
      </c>
      <c r="AG61" s="641">
        <v>28</v>
      </c>
      <c r="AH61" s="287">
        <v>2.9523809523809526</v>
      </c>
      <c r="AI61" s="287">
        <v>2.8666666666666667</v>
      </c>
      <c r="AJ61" s="16">
        <v>6</v>
      </c>
      <c r="AK61" s="508">
        <v>7</v>
      </c>
      <c r="AL61" s="16">
        <v>53</v>
      </c>
      <c r="AM61" s="91">
        <v>49</v>
      </c>
      <c r="AN61" s="91">
        <v>220.57</v>
      </c>
      <c r="AO61" s="91">
        <v>21.19</v>
      </c>
      <c r="AP61" s="91">
        <v>34.840000000000003</v>
      </c>
      <c r="AQ61" s="649">
        <v>238.36293535724349</v>
      </c>
      <c r="AR61" s="107">
        <v>22.675389876027531</v>
      </c>
      <c r="AS61" s="107">
        <v>26.09867179089423</v>
      </c>
      <c r="AT61" s="5" t="s">
        <v>134</v>
      </c>
      <c r="AU61" s="16">
        <v>64</v>
      </c>
      <c r="AV61" s="16">
        <v>0</v>
      </c>
      <c r="AW61" s="16">
        <v>0</v>
      </c>
      <c r="AX61" s="16">
        <v>0</v>
      </c>
      <c r="AY61" s="74">
        <v>100</v>
      </c>
      <c r="AZ61" s="30">
        <v>100</v>
      </c>
      <c r="BA61" s="30">
        <v>0</v>
      </c>
      <c r="BB61" s="30">
        <v>0</v>
      </c>
      <c r="BC61" s="90">
        <v>58</v>
      </c>
      <c r="BD61" s="508">
        <v>62</v>
      </c>
      <c r="BE61" s="30">
        <v>0.60416666666666663</v>
      </c>
      <c r="BF61" s="107">
        <v>0.65</v>
      </c>
      <c r="BG61" s="108" t="s">
        <v>68</v>
      </c>
      <c r="BH61" s="74">
        <v>100</v>
      </c>
      <c r="BI61" s="30">
        <v>95.238095238095241</v>
      </c>
      <c r="BJ61" s="30">
        <v>470.5</v>
      </c>
      <c r="BK61" s="30">
        <v>498.86111111111114</v>
      </c>
      <c r="BL61" s="30">
        <v>97.619047619047635</v>
      </c>
      <c r="BM61" s="30">
        <v>100</v>
      </c>
      <c r="BN61" s="30">
        <v>396.33333333333331</v>
      </c>
      <c r="BO61" s="30">
        <v>488.41666666666669</v>
      </c>
      <c r="BP61" s="30">
        <v>98.809523809523824</v>
      </c>
      <c r="BQ61" s="30">
        <v>97.61904761904762</v>
      </c>
      <c r="BR61" s="30">
        <v>433.41666666666663</v>
      </c>
      <c r="BS61" s="30">
        <v>493.63888888888891</v>
      </c>
      <c r="BT61" s="30">
        <v>82.783067301737759</v>
      </c>
      <c r="BU61" s="107">
        <v>180.48793894301113</v>
      </c>
      <c r="BV61" s="193">
        <v>100</v>
      </c>
      <c r="BW61" s="193">
        <v>100</v>
      </c>
      <c r="BX61" s="193">
        <v>476.5</v>
      </c>
      <c r="BY61" s="193">
        <v>579.25</v>
      </c>
      <c r="BZ61" s="193">
        <v>97.619047619047635</v>
      </c>
      <c r="CA61" s="193">
        <v>97.619047619047635</v>
      </c>
      <c r="CB61" s="193">
        <v>427</v>
      </c>
      <c r="CC61" s="193">
        <v>552</v>
      </c>
      <c r="CD61" s="193">
        <v>98.809523809523824</v>
      </c>
      <c r="CE61" s="193">
        <v>98.809523809523824</v>
      </c>
      <c r="CF61" s="193">
        <v>451.75</v>
      </c>
      <c r="CG61" s="193">
        <v>565.625</v>
      </c>
      <c r="CH61" s="193">
        <v>97.15574676999185</v>
      </c>
      <c r="CI61" s="107">
        <v>217.32760534151723</v>
      </c>
      <c r="CJ61" s="247" t="s">
        <v>296</v>
      </c>
      <c r="CK61" s="247" t="s">
        <v>296</v>
      </c>
      <c r="CM61" s="247" t="s">
        <v>296</v>
      </c>
      <c r="CO61" s="247" t="s">
        <v>296</v>
      </c>
      <c r="CQ61" s="247" t="s">
        <v>296</v>
      </c>
      <c r="CS61" s="247" t="s">
        <v>296</v>
      </c>
      <c r="CU61" s="247" t="s">
        <v>296</v>
      </c>
      <c r="CW61" s="247" t="s">
        <v>296</v>
      </c>
      <c r="CY61" s="247" t="s">
        <v>296</v>
      </c>
      <c r="DE61" s="570" t="s">
        <v>656</v>
      </c>
    </row>
    <row r="62" spans="1:109" x14ac:dyDescent="0.2">
      <c r="A62" s="216">
        <v>58.14</v>
      </c>
      <c r="B62" s="595" t="s">
        <v>266</v>
      </c>
      <c r="C62" s="595" t="s">
        <v>297</v>
      </c>
      <c r="D62" s="158" t="s">
        <v>297</v>
      </c>
      <c r="E62" s="605" t="s">
        <v>297</v>
      </c>
      <c r="F62" s="22">
        <v>2</v>
      </c>
      <c r="G62" s="5">
        <v>1</v>
      </c>
      <c r="H62" s="152">
        <v>29207</v>
      </c>
      <c r="I62" s="152">
        <v>41565</v>
      </c>
      <c r="J62" s="152">
        <v>42278</v>
      </c>
      <c r="K62" s="109">
        <f t="shared" si="2"/>
        <v>1.9534246575342467</v>
      </c>
      <c r="L62" s="109">
        <f t="shared" si="3"/>
        <v>23.44109589041096</v>
      </c>
      <c r="M62" s="22">
        <v>33.799999999999997</v>
      </c>
      <c r="N62" s="579">
        <v>35.799999999999997</v>
      </c>
      <c r="O62" s="90">
        <v>64</v>
      </c>
      <c r="P62" s="16">
        <v>1</v>
      </c>
      <c r="Q62" s="22">
        <v>5</v>
      </c>
      <c r="R62" s="16">
        <v>24</v>
      </c>
      <c r="S62" s="22">
        <v>28</v>
      </c>
      <c r="T62" s="16">
        <v>13</v>
      </c>
      <c r="U62" s="22">
        <v>15</v>
      </c>
      <c r="V62" s="16">
        <v>11</v>
      </c>
      <c r="W62" s="22">
        <v>13</v>
      </c>
      <c r="X62" s="16">
        <v>120.67999999999999</v>
      </c>
      <c r="Y62" s="16">
        <v>120.67999999999999</v>
      </c>
      <c r="Z62" s="484">
        <v>16</v>
      </c>
      <c r="AA62" s="22">
        <v>16</v>
      </c>
      <c r="AB62" s="508">
        <v>22</v>
      </c>
      <c r="AC62" s="508">
        <v>22</v>
      </c>
      <c r="AD62" s="508">
        <v>31</v>
      </c>
      <c r="AE62" s="508">
        <v>23</v>
      </c>
      <c r="AF62" s="641">
        <v>9</v>
      </c>
      <c r="AG62" s="641">
        <v>1</v>
      </c>
      <c r="AH62" s="287">
        <v>1.4090909090909092</v>
      </c>
      <c r="AI62" s="287">
        <v>1.0454545454545454</v>
      </c>
      <c r="AJ62" s="16">
        <v>6</v>
      </c>
      <c r="AK62" s="508">
        <v>8</v>
      </c>
      <c r="AL62" s="16">
        <v>59</v>
      </c>
      <c r="AM62" s="91">
        <v>60</v>
      </c>
      <c r="AN62" s="91">
        <v>152.86000000000001</v>
      </c>
      <c r="AO62" s="91">
        <v>32.090000000000003</v>
      </c>
      <c r="AP62" s="91">
        <v>30.87</v>
      </c>
      <c r="AQ62" s="107">
        <v>153.80934175115672</v>
      </c>
      <c r="AR62" s="107">
        <v>33.225820630988984</v>
      </c>
      <c r="AS62" s="107">
        <v>36.297567565491619</v>
      </c>
      <c r="AT62" s="5" t="s">
        <v>143</v>
      </c>
      <c r="AU62" s="22">
        <v>64</v>
      </c>
      <c r="AV62" s="22">
        <v>0</v>
      </c>
      <c r="AW62" s="22">
        <v>0</v>
      </c>
      <c r="AX62" s="22">
        <v>0</v>
      </c>
      <c r="AY62" s="74">
        <v>100</v>
      </c>
      <c r="AZ62" s="30">
        <v>100</v>
      </c>
      <c r="BA62" s="30">
        <v>0</v>
      </c>
      <c r="BB62" s="30">
        <v>0</v>
      </c>
      <c r="BC62" s="90">
        <v>61</v>
      </c>
      <c r="BE62" s="30">
        <v>0.64</v>
      </c>
      <c r="BG62" s="108" t="s">
        <v>67</v>
      </c>
      <c r="BH62" s="74">
        <v>100</v>
      </c>
      <c r="BI62" s="30">
        <v>100</v>
      </c>
      <c r="BJ62" s="30">
        <v>458.66666666666669</v>
      </c>
      <c r="BK62" s="30">
        <v>515.75</v>
      </c>
      <c r="BL62" s="30">
        <v>100</v>
      </c>
      <c r="BM62" s="30">
        <v>100</v>
      </c>
      <c r="BN62" s="30">
        <v>437.83333333333331</v>
      </c>
      <c r="BO62" s="30">
        <v>429.08333333333331</v>
      </c>
      <c r="BP62" s="30">
        <v>100</v>
      </c>
      <c r="BQ62" s="30">
        <v>100</v>
      </c>
      <c r="BR62" s="30">
        <v>448.25</v>
      </c>
      <c r="BS62" s="30">
        <v>472.41666666666663</v>
      </c>
      <c r="BT62" s="30">
        <v>124.32050095025252</v>
      </c>
      <c r="BU62" s="107">
        <v>111.21968728862574</v>
      </c>
      <c r="BV62" s="193">
        <v>100</v>
      </c>
      <c r="BW62" s="193">
        <v>100</v>
      </c>
      <c r="BX62" s="193">
        <v>342.41666666666669</v>
      </c>
      <c r="BY62" s="193">
        <v>390.58333333333331</v>
      </c>
      <c r="BZ62" s="193">
        <v>97.619047619047635</v>
      </c>
      <c r="CA62" s="193">
        <v>100</v>
      </c>
      <c r="CB62" s="193">
        <v>361.08333333333331</v>
      </c>
      <c r="CC62" s="193">
        <v>446.08333333333331</v>
      </c>
      <c r="CD62" s="193">
        <v>98.809523809523824</v>
      </c>
      <c r="CE62" s="193">
        <v>100</v>
      </c>
      <c r="CF62" s="193">
        <v>351.75</v>
      </c>
      <c r="CG62" s="193">
        <v>495.125</v>
      </c>
      <c r="CH62" s="193">
        <v>42.812279831233305</v>
      </c>
      <c r="CI62" s="107">
        <v>130.47127508838255</v>
      </c>
      <c r="CJ62" s="247" t="s">
        <v>296</v>
      </c>
      <c r="CK62" s="247" t="s">
        <v>296</v>
      </c>
      <c r="CM62" s="247" t="s">
        <v>296</v>
      </c>
      <c r="CO62" s="247" t="s">
        <v>296</v>
      </c>
      <c r="CQ62" s="247" t="s">
        <v>296</v>
      </c>
      <c r="CS62" s="247" t="s">
        <v>296</v>
      </c>
      <c r="CU62" s="247" t="s">
        <v>296</v>
      </c>
      <c r="CW62" s="247" t="s">
        <v>296</v>
      </c>
      <c r="CY62" s="247" t="s">
        <v>296</v>
      </c>
      <c r="DE62" s="570" t="s">
        <v>677</v>
      </c>
    </row>
    <row r="63" spans="1:109" x14ac:dyDescent="0.2">
      <c r="A63" s="216">
        <v>58.15</v>
      </c>
      <c r="B63" s="595" t="s">
        <v>277</v>
      </c>
      <c r="C63" s="595" t="s">
        <v>297</v>
      </c>
      <c r="D63" s="158" t="s">
        <v>297</v>
      </c>
      <c r="E63" s="605" t="s">
        <v>297</v>
      </c>
      <c r="F63" s="22">
        <v>2</v>
      </c>
      <c r="G63" s="5">
        <v>1</v>
      </c>
      <c r="H63" s="152">
        <v>27637</v>
      </c>
      <c r="I63" s="152">
        <v>41571</v>
      </c>
      <c r="J63" s="152"/>
      <c r="K63" s="109"/>
      <c r="L63" s="109"/>
      <c r="M63" s="22">
        <v>38.200000000000003</v>
      </c>
      <c r="N63" s="579"/>
      <c r="O63" s="90">
        <v>100</v>
      </c>
      <c r="P63" s="16">
        <v>2</v>
      </c>
      <c r="R63" s="16">
        <v>18</v>
      </c>
      <c r="T63" s="16">
        <v>12</v>
      </c>
      <c r="V63" s="16">
        <v>6</v>
      </c>
      <c r="X63" s="16">
        <v>99.6</v>
      </c>
      <c r="Z63" s="484">
        <v>18</v>
      </c>
      <c r="AB63" s="508">
        <v>39</v>
      </c>
      <c r="AD63" s="508">
        <v>67</v>
      </c>
      <c r="AF63" s="641">
        <v>28</v>
      </c>
      <c r="AG63" s="641"/>
      <c r="AH63" s="287">
        <v>1.7179487179487178</v>
      </c>
      <c r="AI63" s="287"/>
      <c r="AJ63" s="16">
        <v>7</v>
      </c>
      <c r="AL63" s="16">
        <v>48</v>
      </c>
      <c r="AN63" s="91">
        <v>205.18</v>
      </c>
      <c r="AO63" s="91">
        <v>22.11</v>
      </c>
      <c r="AP63" s="91">
        <v>34.36</v>
      </c>
      <c r="AT63" s="5" t="s">
        <v>134</v>
      </c>
      <c r="AU63" s="22">
        <v>64</v>
      </c>
      <c r="AV63" s="22">
        <v>0</v>
      </c>
      <c r="AW63" s="22">
        <v>0</v>
      </c>
      <c r="AX63" s="22">
        <v>0</v>
      </c>
      <c r="AY63" s="74">
        <v>100</v>
      </c>
      <c r="BA63" s="30">
        <v>0</v>
      </c>
      <c r="BC63" s="90">
        <v>70</v>
      </c>
      <c r="BE63" s="30">
        <v>0.73</v>
      </c>
      <c r="BG63" s="108" t="s">
        <v>67</v>
      </c>
      <c r="BH63" s="74">
        <v>100</v>
      </c>
      <c r="BI63" s="30">
        <v>97.619047619047635</v>
      </c>
      <c r="BJ63" s="30">
        <v>495.91666666666669</v>
      </c>
      <c r="BK63" s="30">
        <v>504.47222222222217</v>
      </c>
      <c r="BL63" s="30">
        <v>100</v>
      </c>
      <c r="BM63" s="30">
        <v>100</v>
      </c>
      <c r="BN63" s="30">
        <v>487.25</v>
      </c>
      <c r="BO63" s="30">
        <v>447.75</v>
      </c>
      <c r="BP63" s="30">
        <v>100</v>
      </c>
      <c r="BQ63" s="30">
        <v>98.809523809523824</v>
      </c>
      <c r="BR63" s="30">
        <v>491.58333333333337</v>
      </c>
      <c r="BS63" s="30">
        <v>476.11111111111109</v>
      </c>
      <c r="BT63" s="30">
        <v>99.227852272769937</v>
      </c>
      <c r="BU63" s="107">
        <v>96.975507278166319</v>
      </c>
      <c r="CJ63" s="247" t="s">
        <v>296</v>
      </c>
      <c r="CK63" s="247" t="s">
        <v>296</v>
      </c>
      <c r="CM63" s="247" t="s">
        <v>296</v>
      </c>
      <c r="CO63" s="247" t="s">
        <v>296</v>
      </c>
      <c r="CQ63" s="247" t="s">
        <v>296</v>
      </c>
      <c r="CS63" s="247" t="s">
        <v>296</v>
      </c>
      <c r="CU63" s="247" t="s">
        <v>296</v>
      </c>
      <c r="CW63" s="247" t="s">
        <v>296</v>
      </c>
      <c r="CY63" s="247" t="s">
        <v>296</v>
      </c>
      <c r="DE63" s="570"/>
    </row>
    <row r="64" spans="1:109" x14ac:dyDescent="0.2">
      <c r="A64" s="216">
        <v>58.16</v>
      </c>
      <c r="B64" s="595" t="s">
        <v>288</v>
      </c>
      <c r="C64" s="595" t="s">
        <v>297</v>
      </c>
      <c r="D64" s="158" t="s">
        <v>297</v>
      </c>
      <c r="E64" s="605" t="s">
        <v>297</v>
      </c>
      <c r="F64" s="22">
        <v>2</v>
      </c>
      <c r="G64" s="5">
        <v>1</v>
      </c>
      <c r="H64" s="152">
        <v>22918</v>
      </c>
      <c r="I64" s="152">
        <v>41576</v>
      </c>
      <c r="J64" s="152">
        <v>42284</v>
      </c>
      <c r="K64" s="109">
        <f t="shared" si="2"/>
        <v>1.9397260273972603</v>
      </c>
      <c r="L64" s="109">
        <f t="shared" si="3"/>
        <v>23.276712328767125</v>
      </c>
      <c r="M64" s="22">
        <v>51.1</v>
      </c>
      <c r="N64" s="579">
        <v>53</v>
      </c>
      <c r="O64" s="90">
        <v>100</v>
      </c>
      <c r="P64" s="16">
        <v>6</v>
      </c>
      <c r="Q64" s="22">
        <v>6</v>
      </c>
      <c r="R64" s="16">
        <v>20</v>
      </c>
      <c r="S64" s="22">
        <v>27</v>
      </c>
      <c r="T64" s="16">
        <v>15</v>
      </c>
      <c r="U64" s="22">
        <v>14</v>
      </c>
      <c r="V64" s="16">
        <v>5</v>
      </c>
      <c r="W64" s="22">
        <v>13</v>
      </c>
      <c r="X64" s="16">
        <v>121.91999999999999</v>
      </c>
      <c r="Y64" s="16">
        <v>125.64</v>
      </c>
      <c r="Z64" s="484">
        <v>16</v>
      </c>
      <c r="AA64" s="22">
        <v>16</v>
      </c>
      <c r="AB64" s="508">
        <v>25</v>
      </c>
      <c r="AC64" s="508">
        <v>19</v>
      </c>
      <c r="AD64" s="508">
        <v>39</v>
      </c>
      <c r="AE64" s="508">
        <v>36</v>
      </c>
      <c r="AF64" s="641">
        <v>14</v>
      </c>
      <c r="AG64" s="641">
        <v>17</v>
      </c>
      <c r="AH64" s="287">
        <v>1.56</v>
      </c>
      <c r="AI64" s="287">
        <v>1.8947368421052631</v>
      </c>
      <c r="AJ64" s="16">
        <v>8</v>
      </c>
      <c r="AK64" s="508">
        <v>6</v>
      </c>
      <c r="AL64" s="16">
        <v>52</v>
      </c>
      <c r="AM64" s="91">
        <v>57</v>
      </c>
      <c r="AN64" s="91">
        <v>207.32</v>
      </c>
      <c r="AO64" s="91">
        <v>19.29</v>
      </c>
      <c r="AP64" s="91">
        <v>25.06</v>
      </c>
      <c r="AQ64" s="107">
        <v>208.78456349206348</v>
      </c>
      <c r="AR64" s="107">
        <v>19.602891208690799</v>
      </c>
      <c r="AS64" s="107">
        <v>28.13075734306053</v>
      </c>
      <c r="AT64" s="5" t="s">
        <v>143</v>
      </c>
      <c r="AU64" s="16">
        <v>63</v>
      </c>
      <c r="AV64" s="16">
        <v>1</v>
      </c>
      <c r="AW64" s="16">
        <v>0</v>
      </c>
      <c r="AX64" s="16">
        <v>1</v>
      </c>
      <c r="AY64" s="74">
        <v>98.4375</v>
      </c>
      <c r="AZ64" s="30">
        <v>100</v>
      </c>
      <c r="BA64" s="30">
        <v>1.5625</v>
      </c>
      <c r="BB64" s="30">
        <v>0</v>
      </c>
      <c r="BC64" s="90">
        <v>61</v>
      </c>
      <c r="BD64" s="508">
        <v>49</v>
      </c>
      <c r="BE64" s="30">
        <v>0.63541666666666663</v>
      </c>
      <c r="BF64" s="107">
        <v>0.51</v>
      </c>
      <c r="BG64" s="108" t="s">
        <v>68</v>
      </c>
      <c r="BH64" s="74">
        <v>100</v>
      </c>
      <c r="BI64" s="30">
        <v>100</v>
      </c>
      <c r="BJ64" s="30">
        <v>430.58333333333331</v>
      </c>
      <c r="BK64" s="30">
        <v>455.75</v>
      </c>
      <c r="BL64" s="30">
        <v>100</v>
      </c>
      <c r="BM64" s="30">
        <v>100</v>
      </c>
      <c r="BN64" s="30">
        <v>455.58333333333331</v>
      </c>
      <c r="BO64" s="30">
        <v>555.41666666666663</v>
      </c>
      <c r="BP64" s="30">
        <v>100</v>
      </c>
      <c r="BQ64" s="30">
        <v>100</v>
      </c>
      <c r="BR64" s="30">
        <v>443.08333333333331</v>
      </c>
      <c r="BS64" s="30">
        <v>505.58333333333331</v>
      </c>
      <c r="BT64" s="30">
        <v>65.97688440175321</v>
      </c>
      <c r="BU64" s="107">
        <v>144.76425113195967</v>
      </c>
      <c r="BV64" s="193">
        <v>100</v>
      </c>
      <c r="BW64" s="193">
        <v>100</v>
      </c>
      <c r="BX64" s="193">
        <v>432.83333333333331</v>
      </c>
      <c r="BY64" s="193">
        <v>369.08333333333331</v>
      </c>
      <c r="BZ64" s="193">
        <v>95.238095238095241</v>
      </c>
      <c r="CA64" s="193">
        <v>97.619047619047635</v>
      </c>
      <c r="CB64" s="193">
        <v>456.91666666666669</v>
      </c>
      <c r="CC64" s="193">
        <v>508.58333333333331</v>
      </c>
      <c r="CD64" s="193">
        <v>97.61904761904762</v>
      </c>
      <c r="CE64" s="193">
        <v>98.809523809523824</v>
      </c>
      <c r="CF64" s="193">
        <v>444.875</v>
      </c>
      <c r="CG64" s="193">
        <v>438.83333333333331</v>
      </c>
      <c r="CH64" s="193">
        <v>90.473302571868516</v>
      </c>
      <c r="CI64" s="107">
        <v>222.03185565935402</v>
      </c>
      <c r="CJ64" s="247" t="s">
        <v>296</v>
      </c>
      <c r="CK64" s="247" t="s">
        <v>296</v>
      </c>
      <c r="CM64" s="247" t="s">
        <v>296</v>
      </c>
      <c r="CO64" s="247" t="s">
        <v>296</v>
      </c>
      <c r="CQ64" s="247" t="s">
        <v>296</v>
      </c>
      <c r="CS64" s="247" t="s">
        <v>296</v>
      </c>
      <c r="CU64" s="247" t="s">
        <v>296</v>
      </c>
      <c r="CW64" s="247" t="s">
        <v>296</v>
      </c>
      <c r="CY64" s="247" t="s">
        <v>296</v>
      </c>
      <c r="DE64" s="570" t="s">
        <v>682</v>
      </c>
    </row>
    <row r="65" spans="1:113" x14ac:dyDescent="0.2">
      <c r="A65" s="216">
        <v>58.17</v>
      </c>
      <c r="B65" s="595" t="s">
        <v>317</v>
      </c>
      <c r="C65" s="595" t="s">
        <v>297</v>
      </c>
      <c r="D65" s="158" t="s">
        <v>297</v>
      </c>
      <c r="E65" s="605" t="s">
        <v>297</v>
      </c>
      <c r="F65" s="22">
        <v>2</v>
      </c>
      <c r="G65" s="5">
        <v>2</v>
      </c>
      <c r="H65" s="152">
        <v>21193</v>
      </c>
      <c r="I65" s="152">
        <v>41617</v>
      </c>
      <c r="J65" s="152">
        <v>42353</v>
      </c>
      <c r="K65" s="109">
        <f t="shared" si="2"/>
        <v>2.0164383561643837</v>
      </c>
      <c r="L65" s="109">
        <f t="shared" si="3"/>
        <v>24.197260273972603</v>
      </c>
      <c r="M65" s="226">
        <v>55.9</v>
      </c>
      <c r="N65" s="226">
        <v>57.9</v>
      </c>
      <c r="O65" s="90">
        <v>82</v>
      </c>
      <c r="P65" s="16">
        <v>15</v>
      </c>
      <c r="Q65" s="22">
        <v>19</v>
      </c>
      <c r="R65" s="16">
        <v>27</v>
      </c>
      <c r="S65" s="22">
        <v>28</v>
      </c>
      <c r="T65" s="16">
        <v>16</v>
      </c>
      <c r="U65" s="22">
        <v>15</v>
      </c>
      <c r="V65" s="16">
        <v>11</v>
      </c>
      <c r="W65" s="22">
        <v>13</v>
      </c>
      <c r="X65" s="16">
        <v>116.96</v>
      </c>
      <c r="Y65" s="16">
        <v>119.44</v>
      </c>
      <c r="Z65" s="484">
        <v>15</v>
      </c>
      <c r="AA65" s="22">
        <v>15</v>
      </c>
      <c r="AB65" s="508">
        <v>19</v>
      </c>
      <c r="AC65" s="508">
        <v>23</v>
      </c>
      <c r="AD65" s="508">
        <v>49</v>
      </c>
      <c r="AE65" s="508">
        <v>42</v>
      </c>
      <c r="AF65" s="641">
        <v>30</v>
      </c>
      <c r="AG65" s="641">
        <v>19</v>
      </c>
      <c r="AH65" s="287">
        <v>2.5789473684210527</v>
      </c>
      <c r="AI65" s="287">
        <v>1.826086956521739</v>
      </c>
      <c r="AJ65" s="16">
        <v>6</v>
      </c>
      <c r="AK65" s="508">
        <v>5</v>
      </c>
      <c r="AL65" s="16">
        <v>48</v>
      </c>
      <c r="AM65" s="91">
        <v>48</v>
      </c>
      <c r="AN65" s="91">
        <v>231.98</v>
      </c>
      <c r="AO65" s="91">
        <v>7.6</v>
      </c>
      <c r="AP65" s="91">
        <v>11.76</v>
      </c>
      <c r="AQ65" s="107">
        <v>201.67790780141846</v>
      </c>
      <c r="AR65" s="107">
        <v>11.638316207203465</v>
      </c>
      <c r="AS65" s="107">
        <v>11.950922175222999</v>
      </c>
      <c r="AT65" s="5" t="s">
        <v>134</v>
      </c>
      <c r="AU65" s="16">
        <v>63</v>
      </c>
      <c r="AV65" s="16">
        <v>1</v>
      </c>
      <c r="AW65" s="16">
        <v>0</v>
      </c>
      <c r="AX65" s="16">
        <v>1</v>
      </c>
      <c r="AY65" s="74">
        <v>98.4375</v>
      </c>
      <c r="AZ65" s="30">
        <v>100</v>
      </c>
      <c r="BA65" s="30">
        <v>1.5625</v>
      </c>
      <c r="BB65" s="30">
        <v>0</v>
      </c>
      <c r="BC65" s="90">
        <v>61</v>
      </c>
      <c r="BD65" s="508">
        <v>90</v>
      </c>
      <c r="BE65" s="30">
        <v>0.63541666666666663</v>
      </c>
      <c r="BF65" s="107">
        <v>0.94</v>
      </c>
      <c r="BG65" s="108" t="s">
        <v>68</v>
      </c>
      <c r="BH65" s="74">
        <v>100</v>
      </c>
      <c r="BI65" s="30">
        <v>100</v>
      </c>
      <c r="BJ65" s="30">
        <v>397.25</v>
      </c>
      <c r="BK65" s="30">
        <v>426.75</v>
      </c>
      <c r="BL65" s="30">
        <v>100</v>
      </c>
      <c r="BM65" s="30">
        <v>100</v>
      </c>
      <c r="BN65" s="30">
        <v>446.33333333333331</v>
      </c>
      <c r="BO65" s="30">
        <v>600.75</v>
      </c>
      <c r="BP65" s="30">
        <v>100</v>
      </c>
      <c r="BQ65" s="30">
        <v>100</v>
      </c>
      <c r="BR65" s="30">
        <v>421.79166666666663</v>
      </c>
      <c r="BS65" s="30">
        <v>513.75</v>
      </c>
      <c r="BT65" s="30">
        <v>55.091212245390402</v>
      </c>
      <c r="BU65" s="107">
        <v>210.81111471399348</v>
      </c>
      <c r="BV65" s="193">
        <v>95.238095238095241</v>
      </c>
      <c r="BW65" s="193">
        <v>100</v>
      </c>
      <c r="BX65" s="193">
        <v>408.25</v>
      </c>
      <c r="BY65" s="193">
        <v>520.91666666666663</v>
      </c>
      <c r="BZ65" s="193">
        <v>100</v>
      </c>
      <c r="CA65" s="193">
        <v>85.714285714285708</v>
      </c>
      <c r="CB65" s="193">
        <v>384.83333333333331</v>
      </c>
      <c r="CC65" s="193">
        <v>368.16666666666669</v>
      </c>
      <c r="CD65" s="193">
        <v>97.61904761904762</v>
      </c>
      <c r="CE65" s="193">
        <v>92.857142857142861</v>
      </c>
      <c r="CF65" s="193">
        <v>396.54166666666663</v>
      </c>
      <c r="CG65" s="193">
        <v>444.54166666666663</v>
      </c>
      <c r="CH65" s="193">
        <v>52.911722352602048</v>
      </c>
      <c r="CI65" s="107">
        <v>166.02250957087276</v>
      </c>
      <c r="CJ65" s="247" t="s">
        <v>296</v>
      </c>
      <c r="CK65" s="247" t="s">
        <v>296</v>
      </c>
      <c r="CM65" s="247" t="s">
        <v>296</v>
      </c>
      <c r="CO65" s="247" t="s">
        <v>296</v>
      </c>
      <c r="CQ65" s="247" t="s">
        <v>296</v>
      </c>
      <c r="CS65" s="247" t="s">
        <v>296</v>
      </c>
      <c r="CU65" s="247" t="s">
        <v>296</v>
      </c>
      <c r="CW65" s="247" t="s">
        <v>296</v>
      </c>
      <c r="CY65" s="247" t="s">
        <v>296</v>
      </c>
      <c r="DE65" s="570" t="s">
        <v>655</v>
      </c>
    </row>
    <row r="66" spans="1:113" x14ac:dyDescent="0.2">
      <c r="A66" s="216">
        <v>58.18</v>
      </c>
      <c r="B66" s="595" t="s">
        <v>319</v>
      </c>
      <c r="C66" s="595" t="s">
        <v>297</v>
      </c>
      <c r="D66" s="158" t="s">
        <v>297</v>
      </c>
      <c r="E66" s="605" t="s">
        <v>297</v>
      </c>
      <c r="F66" s="22">
        <v>2</v>
      </c>
      <c r="G66" s="5">
        <v>1</v>
      </c>
      <c r="H66" s="152">
        <v>26485</v>
      </c>
      <c r="I66" s="152">
        <v>41626</v>
      </c>
      <c r="J66" s="152"/>
      <c r="K66" s="109"/>
      <c r="L66" s="109"/>
      <c r="M66" s="22">
        <v>41.4</v>
      </c>
      <c r="N66" s="579"/>
      <c r="O66" s="90">
        <v>50</v>
      </c>
      <c r="P66" s="16">
        <v>4</v>
      </c>
      <c r="R66" s="16">
        <v>15</v>
      </c>
      <c r="T66" s="16">
        <v>7</v>
      </c>
      <c r="V66" s="16">
        <v>8</v>
      </c>
      <c r="X66" s="188">
        <v>92.16</v>
      </c>
      <c r="Y66" s="188"/>
      <c r="Z66" s="485">
        <v>18</v>
      </c>
      <c r="AA66" s="347"/>
      <c r="AB66" s="508">
        <v>19</v>
      </c>
      <c r="AD66" s="508">
        <v>57</v>
      </c>
      <c r="AF66" s="641">
        <v>38</v>
      </c>
      <c r="AG66" s="641"/>
      <c r="AH66" s="287">
        <v>3</v>
      </c>
      <c r="AI66" s="287"/>
      <c r="AJ66" s="188">
        <v>5</v>
      </c>
      <c r="AK66" s="510"/>
      <c r="AL66" s="16">
        <v>54</v>
      </c>
      <c r="AN66" s="91">
        <v>241.91</v>
      </c>
      <c r="AO66" s="91">
        <v>8.4</v>
      </c>
      <c r="AP66" s="91">
        <v>9.85</v>
      </c>
      <c r="AT66" s="5" t="s">
        <v>143</v>
      </c>
      <c r="AU66" s="22">
        <v>64</v>
      </c>
      <c r="AV66" s="22">
        <v>0</v>
      </c>
      <c r="AW66" s="22">
        <v>0</v>
      </c>
      <c r="AX66" s="22">
        <v>0</v>
      </c>
      <c r="AY66" s="74">
        <v>100</v>
      </c>
      <c r="BA66" s="30">
        <v>0</v>
      </c>
      <c r="BC66" s="90">
        <v>154</v>
      </c>
      <c r="BE66" s="30">
        <v>1.6041666666666667</v>
      </c>
      <c r="BG66" s="108" t="s">
        <v>67</v>
      </c>
      <c r="BH66" s="74">
        <v>100</v>
      </c>
      <c r="BI66" s="30">
        <v>100</v>
      </c>
      <c r="BJ66" s="30">
        <v>587.16666666666663</v>
      </c>
      <c r="BK66" s="30">
        <v>730.16666666666663</v>
      </c>
      <c r="BL66" s="30">
        <v>100</v>
      </c>
      <c r="BM66" s="30">
        <v>100</v>
      </c>
      <c r="BN66" s="30">
        <v>544.91666666666663</v>
      </c>
      <c r="BO66" s="30">
        <v>699.41666666666663</v>
      </c>
      <c r="BP66" s="30">
        <v>100</v>
      </c>
      <c r="BQ66" s="30">
        <v>100</v>
      </c>
      <c r="BR66" s="30">
        <v>566.04166666666663</v>
      </c>
      <c r="BS66" s="30">
        <v>714.79166666666663</v>
      </c>
      <c r="BT66" s="30">
        <v>165.91524268018046</v>
      </c>
      <c r="BU66" s="107">
        <v>170.90907299463095</v>
      </c>
      <c r="CJ66" s="311" t="s">
        <v>297</v>
      </c>
      <c r="CK66" s="247" t="s">
        <v>296</v>
      </c>
      <c r="CM66" s="310" t="s">
        <v>347</v>
      </c>
      <c r="CO66" s="247" t="s">
        <v>296</v>
      </c>
      <c r="CQ66" s="311" t="s">
        <v>348</v>
      </c>
      <c r="CR66" s="311"/>
      <c r="CS66" s="311" t="s">
        <v>297</v>
      </c>
      <c r="CT66" s="320" t="s">
        <v>562</v>
      </c>
      <c r="CU66" s="311" t="s">
        <v>348</v>
      </c>
      <c r="CV66" s="311"/>
      <c r="CW66" s="311" t="s">
        <v>297</v>
      </c>
      <c r="CX66" s="320" t="s">
        <v>528</v>
      </c>
      <c r="CY66" s="311" t="s">
        <v>297</v>
      </c>
      <c r="CZ66" s="311" t="s">
        <v>592</v>
      </c>
      <c r="DA66" s="311"/>
      <c r="DB66" s="311"/>
      <c r="DC66" s="311"/>
      <c r="DD66" s="311"/>
      <c r="DE66" s="570"/>
    </row>
    <row r="67" spans="1:113" x14ac:dyDescent="0.2">
      <c r="A67" s="216">
        <v>58.19</v>
      </c>
      <c r="B67" s="595" t="s">
        <v>326</v>
      </c>
      <c r="C67" s="595" t="s">
        <v>297</v>
      </c>
      <c r="D67" s="158" t="s">
        <v>297</v>
      </c>
      <c r="E67" s="605" t="s">
        <v>297</v>
      </c>
      <c r="F67" s="22">
        <v>2</v>
      </c>
      <c r="G67" s="5">
        <v>1</v>
      </c>
      <c r="H67" s="152">
        <v>27925</v>
      </c>
      <c r="I67" s="152">
        <v>41626</v>
      </c>
      <c r="J67" s="152">
        <v>42419</v>
      </c>
      <c r="K67" s="109">
        <f t="shared" si="2"/>
        <v>2.1726027397260275</v>
      </c>
      <c r="L67" s="109">
        <f t="shared" si="3"/>
        <v>26.07123287671233</v>
      </c>
      <c r="M67" s="22">
        <v>37.6</v>
      </c>
      <c r="N67" s="579">
        <v>39.700000000000003</v>
      </c>
      <c r="O67" s="90">
        <v>100</v>
      </c>
      <c r="P67" s="16">
        <v>18</v>
      </c>
      <c r="Q67" s="22">
        <v>7</v>
      </c>
      <c r="R67" s="16">
        <v>26</v>
      </c>
      <c r="S67" s="22">
        <v>22</v>
      </c>
      <c r="T67" s="16">
        <v>15</v>
      </c>
      <c r="U67" s="22">
        <v>14</v>
      </c>
      <c r="V67" s="16">
        <v>11</v>
      </c>
      <c r="W67" s="22">
        <v>8</v>
      </c>
      <c r="X67" s="16">
        <v>123.16</v>
      </c>
      <c r="Y67" s="16">
        <v>121.91999999999999</v>
      </c>
      <c r="Z67" s="484">
        <v>18</v>
      </c>
      <c r="AA67" s="22">
        <v>18</v>
      </c>
      <c r="AB67" s="508">
        <v>26</v>
      </c>
      <c r="AC67" s="508">
        <v>37</v>
      </c>
      <c r="AD67" s="508">
        <v>45</v>
      </c>
      <c r="AE67" s="508">
        <v>47</v>
      </c>
      <c r="AF67" s="641">
        <v>19</v>
      </c>
      <c r="AG67" s="641">
        <v>10</v>
      </c>
      <c r="AH67" s="287">
        <v>1.7307692307692308</v>
      </c>
      <c r="AI67" s="287">
        <v>1.2702702702702702</v>
      </c>
      <c r="AJ67" s="16">
        <v>6</v>
      </c>
      <c r="AK67" s="508">
        <v>6</v>
      </c>
      <c r="AL67" s="16">
        <v>60</v>
      </c>
      <c r="AM67" s="91">
        <v>50</v>
      </c>
      <c r="AN67" s="91">
        <v>213.5</v>
      </c>
      <c r="AO67" s="91">
        <v>28.71</v>
      </c>
      <c r="AP67" s="91">
        <v>30.26</v>
      </c>
      <c r="AQ67" s="107">
        <v>196.2669779781622</v>
      </c>
      <c r="AR67" s="107">
        <v>21.717778862277793</v>
      </c>
      <c r="AS67" s="107">
        <v>23.958588267485471</v>
      </c>
      <c r="AT67" s="5" t="s">
        <v>134</v>
      </c>
      <c r="AU67" s="16">
        <v>62</v>
      </c>
      <c r="AV67" s="16">
        <v>2</v>
      </c>
      <c r="AW67" s="16">
        <v>0</v>
      </c>
      <c r="AX67" s="16">
        <v>2</v>
      </c>
      <c r="AY67" s="74">
        <v>96.875</v>
      </c>
      <c r="AZ67" s="30">
        <v>98.44</v>
      </c>
      <c r="BA67" s="30">
        <v>3.12</v>
      </c>
      <c r="BB67" s="30">
        <v>1.56</v>
      </c>
      <c r="BC67" s="90">
        <v>43</v>
      </c>
      <c r="BD67" s="508">
        <v>62</v>
      </c>
      <c r="BE67" s="30">
        <v>0.44791666666666669</v>
      </c>
      <c r="BF67" s="107">
        <v>0.65</v>
      </c>
      <c r="BG67" s="108" t="s">
        <v>67</v>
      </c>
      <c r="BH67" s="74">
        <v>100</v>
      </c>
      <c r="BI67" s="30">
        <v>97.619047619047635</v>
      </c>
      <c r="BJ67" s="30">
        <v>395.25</v>
      </c>
      <c r="BK67" s="30">
        <v>515</v>
      </c>
      <c r="BL67" s="30">
        <v>100</v>
      </c>
      <c r="BM67" s="30">
        <v>100</v>
      </c>
      <c r="BN67" s="30">
        <v>382</v>
      </c>
      <c r="BO67" s="30">
        <v>451.91666666666669</v>
      </c>
      <c r="BP67" s="30">
        <v>100</v>
      </c>
      <c r="BQ67" s="30">
        <v>98.809523809523824</v>
      </c>
      <c r="BR67" s="30">
        <v>388.625</v>
      </c>
      <c r="BS67" s="30">
        <v>483.45833333333337</v>
      </c>
      <c r="BT67" s="30">
        <v>55.087134535246506</v>
      </c>
      <c r="BU67" s="107">
        <v>207.51992657944012</v>
      </c>
      <c r="BV67" s="193">
        <v>100</v>
      </c>
      <c r="BW67" s="193">
        <v>100</v>
      </c>
      <c r="BX67" s="193">
        <v>346.08333333333331</v>
      </c>
      <c r="BY67" s="193">
        <v>409</v>
      </c>
      <c r="BZ67" s="193">
        <v>92.857142857142847</v>
      </c>
      <c r="CA67" s="193">
        <v>100</v>
      </c>
      <c r="CB67" s="193">
        <v>325.5</v>
      </c>
      <c r="CC67" s="193">
        <v>367.5</v>
      </c>
      <c r="CD67" s="193">
        <v>96.428571428571416</v>
      </c>
      <c r="CE67" s="193">
        <v>100</v>
      </c>
      <c r="CF67" s="193">
        <v>335.79166666666663</v>
      </c>
      <c r="CG67" s="193">
        <v>388.25</v>
      </c>
      <c r="CH67" s="193">
        <v>42.761217699341039</v>
      </c>
      <c r="CI67" s="107">
        <v>140.77464260299155</v>
      </c>
      <c r="CJ67" s="247" t="s">
        <v>296</v>
      </c>
      <c r="CK67" s="247" t="s">
        <v>296</v>
      </c>
      <c r="CM67" s="247" t="s">
        <v>296</v>
      </c>
      <c r="CO67" s="247" t="s">
        <v>296</v>
      </c>
      <c r="CQ67" s="247" t="s">
        <v>296</v>
      </c>
      <c r="CS67" s="247" t="s">
        <v>296</v>
      </c>
      <c r="CU67" s="247" t="s">
        <v>296</v>
      </c>
      <c r="CW67" s="247" t="s">
        <v>296</v>
      </c>
      <c r="CY67" s="247" t="s">
        <v>296</v>
      </c>
      <c r="DE67" s="570" t="s">
        <v>655</v>
      </c>
    </row>
    <row r="68" spans="1:113" x14ac:dyDescent="0.2">
      <c r="A68" s="216">
        <v>58.2</v>
      </c>
      <c r="B68" s="595" t="s">
        <v>330</v>
      </c>
      <c r="C68" s="595" t="s">
        <v>297</v>
      </c>
      <c r="D68" s="158" t="s">
        <v>297</v>
      </c>
      <c r="E68" s="605" t="s">
        <v>297</v>
      </c>
      <c r="F68" s="22">
        <v>2</v>
      </c>
      <c r="G68" s="5">
        <v>2</v>
      </c>
      <c r="H68" s="152">
        <v>23125</v>
      </c>
      <c r="I68" s="152">
        <v>41648</v>
      </c>
      <c r="J68" s="152">
        <v>42531</v>
      </c>
      <c r="K68" s="109">
        <f t="shared" si="2"/>
        <v>2.419178082191781</v>
      </c>
      <c r="L68" s="109">
        <f t="shared" si="3"/>
        <v>29.030136986301372</v>
      </c>
      <c r="M68" s="22">
        <v>50.8</v>
      </c>
      <c r="N68" s="579">
        <v>53.2</v>
      </c>
      <c r="O68" s="90">
        <v>0</v>
      </c>
      <c r="P68" s="16">
        <v>3</v>
      </c>
      <c r="Q68" s="22">
        <v>12</v>
      </c>
      <c r="R68" s="16">
        <v>26</v>
      </c>
      <c r="S68" s="22">
        <v>24</v>
      </c>
      <c r="T68" s="16">
        <v>14</v>
      </c>
      <c r="U68" s="22">
        <v>13</v>
      </c>
      <c r="V68" s="16">
        <v>12</v>
      </c>
      <c r="W68" s="22">
        <v>11</v>
      </c>
      <c r="X68" s="16">
        <v>110.75999999999999</v>
      </c>
      <c r="Y68" s="16">
        <v>113.24</v>
      </c>
      <c r="Z68" s="484">
        <v>19</v>
      </c>
      <c r="AA68" s="22">
        <v>21</v>
      </c>
      <c r="AB68" s="508">
        <v>20</v>
      </c>
      <c r="AC68" s="508">
        <v>20</v>
      </c>
      <c r="AD68" s="508">
        <v>52</v>
      </c>
      <c r="AE68" s="508">
        <v>70</v>
      </c>
      <c r="AF68" s="641">
        <v>32</v>
      </c>
      <c r="AG68" s="641">
        <v>50</v>
      </c>
      <c r="AH68" s="287">
        <v>2.6</v>
      </c>
      <c r="AI68" s="287">
        <v>3.5</v>
      </c>
      <c r="AJ68" s="16">
        <v>6</v>
      </c>
      <c r="AK68" s="508">
        <v>6</v>
      </c>
      <c r="AL68" s="16">
        <v>40</v>
      </c>
      <c r="AM68" s="91">
        <v>46</v>
      </c>
      <c r="AN68" s="91">
        <v>220.75</v>
      </c>
      <c r="AO68" s="91">
        <v>27.93</v>
      </c>
      <c r="AP68" s="91">
        <v>24.95</v>
      </c>
      <c r="AQ68" s="107">
        <v>215.72271093917902</v>
      </c>
      <c r="AR68" s="107">
        <v>26.173334340903246</v>
      </c>
      <c r="AS68" s="107">
        <v>18.382986279948028</v>
      </c>
      <c r="AT68" s="5" t="s">
        <v>143</v>
      </c>
      <c r="AU68" s="16">
        <v>63</v>
      </c>
      <c r="AV68" s="16">
        <v>1</v>
      </c>
      <c r="AW68" s="16">
        <v>0</v>
      </c>
      <c r="AX68" s="16">
        <v>1</v>
      </c>
      <c r="AY68" s="74">
        <v>98.4375</v>
      </c>
      <c r="AZ68" s="30">
        <v>98.44</v>
      </c>
      <c r="BA68" s="30">
        <v>1.5625</v>
      </c>
      <c r="BB68" s="30">
        <v>1.56</v>
      </c>
      <c r="BC68" s="90">
        <v>65</v>
      </c>
      <c r="BD68" s="508">
        <v>97</v>
      </c>
      <c r="BE68" s="30">
        <v>0.67708333333333337</v>
      </c>
      <c r="BF68" s="107">
        <v>1.01</v>
      </c>
      <c r="BG68" s="108" t="s">
        <v>68</v>
      </c>
      <c r="BH68" s="74">
        <v>100</v>
      </c>
      <c r="BI68" s="30">
        <v>97.619047619047635</v>
      </c>
      <c r="BJ68" s="30">
        <v>462.25</v>
      </c>
      <c r="BK68" s="30">
        <v>531.08333333333337</v>
      </c>
      <c r="BL68" s="30">
        <v>100</v>
      </c>
      <c r="BM68" s="30">
        <v>95.238095238095241</v>
      </c>
      <c r="BN68" s="30">
        <v>518.25</v>
      </c>
      <c r="BO68" s="30">
        <v>571.1111111111112</v>
      </c>
      <c r="BP68" s="30">
        <v>100</v>
      </c>
      <c r="BQ68" s="30">
        <v>96.428571428571445</v>
      </c>
      <c r="BR68" s="30">
        <v>490.25</v>
      </c>
      <c r="BS68" s="30">
        <v>551.09722222222229</v>
      </c>
      <c r="BT68" s="30">
        <v>154.33482798913141</v>
      </c>
      <c r="BU68" s="107">
        <v>168.71000916862008</v>
      </c>
      <c r="BV68" s="193">
        <v>100</v>
      </c>
      <c r="BW68" s="193">
        <v>97.619047619047635</v>
      </c>
      <c r="BX68" s="193">
        <v>540.5</v>
      </c>
      <c r="BY68" s="193">
        <v>615.94444444444446</v>
      </c>
      <c r="BZ68" s="193">
        <v>97.619047619047635</v>
      </c>
      <c r="CA68" s="193">
        <v>90.476190476190482</v>
      </c>
      <c r="CB68" s="193">
        <v>461.22222222222217</v>
      </c>
      <c r="CC68" s="193">
        <v>672.38888888888891</v>
      </c>
      <c r="CD68" s="193">
        <v>98.809523809523824</v>
      </c>
      <c r="CE68" s="193">
        <v>94.047619047619065</v>
      </c>
      <c r="CF68" s="193">
        <v>500.86111111111109</v>
      </c>
      <c r="CG68" s="193">
        <v>644.16666666666674</v>
      </c>
      <c r="CH68" s="193">
        <v>104.92284008518595</v>
      </c>
      <c r="CI68" s="107">
        <v>353.44590229333994</v>
      </c>
      <c r="CJ68" s="247" t="s">
        <v>296</v>
      </c>
      <c r="CK68" s="247" t="s">
        <v>296</v>
      </c>
      <c r="CM68" s="314" t="s">
        <v>345</v>
      </c>
      <c r="CN68" s="314"/>
      <c r="CO68" s="247" t="s">
        <v>296</v>
      </c>
      <c r="CQ68" s="314" t="s">
        <v>345</v>
      </c>
      <c r="CR68" s="314"/>
      <c r="CS68" s="247" t="s">
        <v>296</v>
      </c>
      <c r="CU68" s="247" t="s">
        <v>296</v>
      </c>
      <c r="CW68" s="311" t="s">
        <v>353</v>
      </c>
      <c r="CX68" s="320"/>
      <c r="CY68" s="314" t="s">
        <v>345</v>
      </c>
      <c r="CZ68" s="314" t="s">
        <v>547</v>
      </c>
      <c r="DA68" s="314"/>
      <c r="DB68" s="314"/>
      <c r="DC68" s="314"/>
      <c r="DD68" s="314"/>
      <c r="DE68" s="570" t="s">
        <v>655</v>
      </c>
    </row>
    <row r="69" spans="1:113" x14ac:dyDescent="0.2">
      <c r="A69" s="216">
        <v>58.21</v>
      </c>
      <c r="B69" s="595" t="s">
        <v>337</v>
      </c>
      <c r="C69" s="595" t="s">
        <v>297</v>
      </c>
      <c r="D69" s="158" t="s">
        <v>297</v>
      </c>
      <c r="E69" s="605" t="s">
        <v>297</v>
      </c>
      <c r="F69" s="22">
        <v>2</v>
      </c>
      <c r="G69" s="5">
        <v>2</v>
      </c>
      <c r="H69" s="152">
        <v>18988</v>
      </c>
      <c r="I69" s="152">
        <v>41649</v>
      </c>
      <c r="J69" s="152">
        <v>42384</v>
      </c>
      <c r="K69" s="109">
        <f t="shared" si="2"/>
        <v>2.0136986301369864</v>
      </c>
      <c r="L69" s="109">
        <f t="shared" si="3"/>
        <v>24.164383561643838</v>
      </c>
      <c r="M69" s="22">
        <v>62.1</v>
      </c>
      <c r="N69" s="579">
        <v>64.099999999999994</v>
      </c>
      <c r="O69" s="90">
        <v>100</v>
      </c>
      <c r="P69" s="16">
        <v>0</v>
      </c>
      <c r="Q69" s="22">
        <v>0</v>
      </c>
      <c r="R69" s="16">
        <v>20</v>
      </c>
      <c r="S69" s="22">
        <v>16</v>
      </c>
      <c r="T69" s="16">
        <v>13</v>
      </c>
      <c r="U69" s="22">
        <v>9</v>
      </c>
      <c r="V69" s="16">
        <v>7</v>
      </c>
      <c r="W69" s="22">
        <v>7</v>
      </c>
      <c r="X69" s="16">
        <v>128.12</v>
      </c>
      <c r="Y69" s="16">
        <v>128.12</v>
      </c>
      <c r="Z69" s="484">
        <v>16</v>
      </c>
      <c r="AA69" s="22">
        <v>16</v>
      </c>
      <c r="AB69" s="508">
        <v>27</v>
      </c>
      <c r="AC69" s="508">
        <v>43</v>
      </c>
      <c r="AD69" s="508">
        <v>40</v>
      </c>
      <c r="AE69" s="508">
        <v>47</v>
      </c>
      <c r="AF69" s="508">
        <v>13</v>
      </c>
      <c r="AG69" s="508">
        <v>4</v>
      </c>
      <c r="AH69" s="30">
        <v>1.4814814814814814</v>
      </c>
      <c r="AI69" s="30">
        <v>1.0930232558139534</v>
      </c>
      <c r="AJ69" s="16">
        <v>6</v>
      </c>
      <c r="AK69" s="508">
        <v>7</v>
      </c>
      <c r="AL69" s="16">
        <v>62</v>
      </c>
      <c r="AM69" s="91">
        <v>58</v>
      </c>
      <c r="AN69" s="91">
        <v>206.92</v>
      </c>
      <c r="AO69" s="91">
        <v>19.32</v>
      </c>
      <c r="AP69" s="91">
        <v>30.39</v>
      </c>
      <c r="AQ69" s="107">
        <v>206.62127338603426</v>
      </c>
      <c r="AR69" s="107">
        <v>25.395419181333683</v>
      </c>
      <c r="AS69" s="107">
        <v>23.331832325320807</v>
      </c>
      <c r="AT69" s="5" t="s">
        <v>134</v>
      </c>
      <c r="AU69" s="16">
        <v>64</v>
      </c>
      <c r="AV69" s="16">
        <v>0</v>
      </c>
      <c r="AW69" s="16">
        <v>0</v>
      </c>
      <c r="AX69" s="16">
        <v>0</v>
      </c>
      <c r="AY69" s="74">
        <v>100</v>
      </c>
      <c r="AZ69" s="30">
        <v>100</v>
      </c>
      <c r="BA69" s="30">
        <v>0</v>
      </c>
      <c r="BB69" s="30">
        <v>0</v>
      </c>
      <c r="BC69" s="90">
        <v>64</v>
      </c>
      <c r="BD69" s="508">
        <v>62</v>
      </c>
      <c r="BE69" s="30">
        <v>0.66666666666666663</v>
      </c>
      <c r="BF69" s="107">
        <v>0.65</v>
      </c>
      <c r="BG69" s="108" t="s">
        <v>68</v>
      </c>
      <c r="BH69" s="74">
        <v>100</v>
      </c>
      <c r="BI69" s="30">
        <v>97.619047619047635</v>
      </c>
      <c r="BJ69" s="30">
        <v>523.83333333333337</v>
      </c>
      <c r="BK69" s="30">
        <v>865.91666666666663</v>
      </c>
      <c r="BL69" s="30">
        <v>100</v>
      </c>
      <c r="BM69" s="30">
        <v>100</v>
      </c>
      <c r="BN69" s="30">
        <v>456.5</v>
      </c>
      <c r="BO69" s="30">
        <v>635.5</v>
      </c>
      <c r="BP69" s="30">
        <v>100</v>
      </c>
      <c r="BQ69" s="30">
        <v>98.809523809523824</v>
      </c>
      <c r="BR69" s="30">
        <v>490.16666666666669</v>
      </c>
      <c r="BS69" s="30">
        <v>750.70833333333326</v>
      </c>
      <c r="BT69" s="30">
        <v>72.479482354103681</v>
      </c>
      <c r="BU69" s="107">
        <v>309.0076300271885</v>
      </c>
      <c r="BV69" s="193">
        <v>100</v>
      </c>
      <c r="BW69" s="193">
        <v>100</v>
      </c>
      <c r="BX69" s="193">
        <v>498</v>
      </c>
      <c r="BY69" s="193">
        <v>845.08333333333337</v>
      </c>
      <c r="BZ69" s="193">
        <v>100</v>
      </c>
      <c r="CA69" s="193">
        <v>97.619047619047635</v>
      </c>
      <c r="CB69" s="193">
        <v>441.83333333333331</v>
      </c>
      <c r="CC69" s="193">
        <v>774.16666666666663</v>
      </c>
      <c r="CD69" s="193">
        <v>100</v>
      </c>
      <c r="CE69" s="193">
        <v>98.809523809523824</v>
      </c>
      <c r="CF69" s="193">
        <v>469.91666666666663</v>
      </c>
      <c r="CG69" s="193">
        <v>809.625</v>
      </c>
      <c r="CH69" s="193">
        <v>61.732886497897582</v>
      </c>
      <c r="CI69" s="107">
        <v>390.24757014990507</v>
      </c>
      <c r="CJ69" s="247" t="s">
        <v>296</v>
      </c>
      <c r="CK69" s="247" t="s">
        <v>296</v>
      </c>
      <c r="CM69" s="247" t="s">
        <v>296</v>
      </c>
      <c r="CO69" s="247" t="s">
        <v>296</v>
      </c>
      <c r="CQ69" s="247" t="s">
        <v>296</v>
      </c>
      <c r="CS69" s="247" t="s">
        <v>296</v>
      </c>
      <c r="CU69" s="247" t="s">
        <v>296</v>
      </c>
      <c r="CW69" s="247" t="s">
        <v>296</v>
      </c>
      <c r="CY69" s="247" t="s">
        <v>296</v>
      </c>
      <c r="DE69" s="570" t="s">
        <v>655</v>
      </c>
    </row>
    <row r="70" spans="1:113" x14ac:dyDescent="0.2">
      <c r="A70" s="216">
        <v>58.22</v>
      </c>
      <c r="B70" s="595" t="s">
        <v>359</v>
      </c>
      <c r="C70" s="595" t="s">
        <v>297</v>
      </c>
      <c r="D70" s="158" t="s">
        <v>297</v>
      </c>
      <c r="E70" s="605" t="s">
        <v>297</v>
      </c>
      <c r="F70" s="22">
        <v>2</v>
      </c>
      <c r="G70" s="5">
        <v>1</v>
      </c>
      <c r="H70" s="152">
        <v>32758</v>
      </c>
      <c r="I70" s="152">
        <v>41682</v>
      </c>
      <c r="J70" s="152">
        <v>42594</v>
      </c>
      <c r="K70" s="109">
        <f t="shared" si="2"/>
        <v>2.4986301369863013</v>
      </c>
      <c r="L70" s="109">
        <f t="shared" si="3"/>
        <v>29.983561643835614</v>
      </c>
      <c r="M70" s="22">
        <v>24.4</v>
      </c>
      <c r="N70" s="579">
        <v>26.916666666666668</v>
      </c>
      <c r="O70" s="90">
        <v>80</v>
      </c>
      <c r="P70" s="16">
        <v>12</v>
      </c>
      <c r="Q70" s="22">
        <v>0</v>
      </c>
      <c r="R70" s="16">
        <v>29</v>
      </c>
      <c r="S70" s="22">
        <v>30</v>
      </c>
      <c r="T70" s="16">
        <v>16</v>
      </c>
      <c r="U70" s="22">
        <v>16</v>
      </c>
      <c r="V70" s="16">
        <v>13</v>
      </c>
      <c r="W70" s="22">
        <v>14</v>
      </c>
      <c r="X70" s="16">
        <v>100.84</v>
      </c>
      <c r="Y70" s="16">
        <v>108.28</v>
      </c>
      <c r="Z70" s="484">
        <v>16</v>
      </c>
      <c r="AA70" s="22">
        <v>18</v>
      </c>
      <c r="AB70" s="508">
        <v>28</v>
      </c>
      <c r="AC70" s="508">
        <v>23</v>
      </c>
      <c r="AD70" s="508">
        <v>43</v>
      </c>
      <c r="AE70" s="508">
        <v>36</v>
      </c>
      <c r="AF70" s="508">
        <v>15</v>
      </c>
      <c r="AG70" s="508">
        <v>13</v>
      </c>
      <c r="AH70" s="30">
        <v>1.5357142857142858</v>
      </c>
      <c r="AI70" s="30">
        <v>1.5652173913043479</v>
      </c>
      <c r="AJ70" s="16">
        <v>5</v>
      </c>
      <c r="AK70" s="508">
        <v>5</v>
      </c>
      <c r="AL70" s="16">
        <v>64</v>
      </c>
      <c r="AM70" s="91">
        <v>63</v>
      </c>
      <c r="AN70" s="91">
        <v>192.53</v>
      </c>
      <c r="AO70" s="91">
        <v>24.97</v>
      </c>
      <c r="AP70" s="91">
        <v>20.79</v>
      </c>
      <c r="AQ70" s="107">
        <v>203.96578006945495</v>
      </c>
      <c r="AR70" s="107">
        <v>21.570912615657132</v>
      </c>
      <c r="AS70" s="107">
        <v>22.477852094402913</v>
      </c>
      <c r="AT70" s="5" t="s">
        <v>143</v>
      </c>
      <c r="AU70" s="16">
        <v>62</v>
      </c>
      <c r="AV70" s="16">
        <v>1</v>
      </c>
      <c r="AW70" s="16">
        <v>1</v>
      </c>
      <c r="AX70" s="16">
        <v>2</v>
      </c>
      <c r="AY70" s="74">
        <v>96.875</v>
      </c>
      <c r="AZ70" s="30">
        <v>92.19</v>
      </c>
      <c r="BA70" s="30">
        <v>3.12</v>
      </c>
      <c r="BB70" s="30">
        <v>7.81</v>
      </c>
      <c r="BC70" s="90">
        <v>47</v>
      </c>
      <c r="BD70" s="508">
        <v>45</v>
      </c>
      <c r="BE70" s="30">
        <v>0.48958333333333331</v>
      </c>
      <c r="BF70" s="107">
        <v>0.47</v>
      </c>
      <c r="BG70" s="108" t="s">
        <v>67</v>
      </c>
      <c r="BH70" s="74">
        <v>100</v>
      </c>
      <c r="BI70" s="30">
        <v>100</v>
      </c>
      <c r="BJ70" s="30">
        <v>440.16666666666669</v>
      </c>
      <c r="BK70" s="30">
        <v>498.16666666666669</v>
      </c>
      <c r="BL70" s="30">
        <v>100</v>
      </c>
      <c r="BM70" s="30">
        <v>100</v>
      </c>
      <c r="BN70" s="30">
        <v>456.91666666666669</v>
      </c>
      <c r="BO70" s="30">
        <v>467.5</v>
      </c>
      <c r="BP70" s="30">
        <v>100</v>
      </c>
      <c r="BQ70" s="30">
        <v>100</v>
      </c>
      <c r="BR70" s="30">
        <v>448.54166666666669</v>
      </c>
      <c r="BS70" s="30">
        <v>482.83333333333337</v>
      </c>
      <c r="BT70" s="30">
        <v>52.518302537774979</v>
      </c>
      <c r="BU70" s="107">
        <v>92.379965203579061</v>
      </c>
      <c r="BV70" s="193">
        <v>100</v>
      </c>
      <c r="BW70" s="193">
        <v>100</v>
      </c>
      <c r="BX70" s="193">
        <v>1298.75</v>
      </c>
      <c r="BY70" s="193">
        <v>489.58333333333331</v>
      </c>
      <c r="BZ70" s="193">
        <v>100</v>
      </c>
      <c r="CA70" s="193">
        <v>97.619047619047635</v>
      </c>
      <c r="CB70" s="193">
        <v>431.66666666666669</v>
      </c>
      <c r="CC70" s="193">
        <v>547.05555555555554</v>
      </c>
      <c r="CD70" s="193">
        <v>100</v>
      </c>
      <c r="CE70" s="193">
        <v>98.809523809523824</v>
      </c>
      <c r="CF70" s="193">
        <v>432.29166666666669</v>
      </c>
      <c r="CG70" s="193">
        <v>518.31944444444446</v>
      </c>
      <c r="CH70" s="193">
        <v>48.87204159102982</v>
      </c>
      <c r="CI70" s="107">
        <v>92.131243386297243</v>
      </c>
      <c r="CJ70" s="247" t="s">
        <v>296</v>
      </c>
      <c r="CK70" s="247" t="s">
        <v>296</v>
      </c>
      <c r="CM70" s="311" t="s">
        <v>297</v>
      </c>
      <c r="CN70" s="311" t="s">
        <v>546</v>
      </c>
      <c r="CO70" s="247" t="s">
        <v>296</v>
      </c>
      <c r="CQ70" s="311" t="s">
        <v>297</v>
      </c>
      <c r="CR70" s="311" t="s">
        <v>546</v>
      </c>
      <c r="CS70" s="311" t="s">
        <v>297</v>
      </c>
      <c r="CT70" s="320" t="s">
        <v>389</v>
      </c>
      <c r="CU70" s="311" t="s">
        <v>297</v>
      </c>
      <c r="CV70" s="311" t="s">
        <v>580</v>
      </c>
      <c r="CW70" s="247" t="s">
        <v>296</v>
      </c>
      <c r="CY70" s="247" t="s">
        <v>296</v>
      </c>
      <c r="DE70" s="570" t="s">
        <v>655</v>
      </c>
    </row>
    <row r="71" spans="1:113" x14ac:dyDescent="0.2">
      <c r="A71" s="216">
        <v>58.23</v>
      </c>
      <c r="B71" s="595" t="s">
        <v>363</v>
      </c>
      <c r="C71" s="595" t="s">
        <v>296</v>
      </c>
      <c r="D71" s="158" t="s">
        <v>296</v>
      </c>
      <c r="E71" s="605" t="s">
        <v>296</v>
      </c>
      <c r="F71" s="22">
        <v>2</v>
      </c>
      <c r="G71" s="5">
        <v>2</v>
      </c>
      <c r="H71" s="152">
        <v>33027</v>
      </c>
      <c r="I71" s="152">
        <v>41688</v>
      </c>
      <c r="J71" s="152">
        <v>42419</v>
      </c>
      <c r="K71" s="109">
        <f t="shared" si="2"/>
        <v>2.0027397260273974</v>
      </c>
      <c r="L71" s="109">
        <f t="shared" si="3"/>
        <v>24.032876712328768</v>
      </c>
      <c r="M71" s="22">
        <v>23.6</v>
      </c>
      <c r="N71" s="579">
        <v>25.7</v>
      </c>
      <c r="O71" s="90">
        <v>100</v>
      </c>
      <c r="P71" s="16">
        <v>1</v>
      </c>
      <c r="Q71" s="22">
        <v>2</v>
      </c>
      <c r="R71" s="16">
        <v>15</v>
      </c>
      <c r="S71" s="22">
        <v>16</v>
      </c>
      <c r="T71" s="16">
        <v>9</v>
      </c>
      <c r="U71" s="22">
        <v>11</v>
      </c>
      <c r="V71" s="16">
        <v>6</v>
      </c>
      <c r="W71" s="22">
        <v>5</v>
      </c>
      <c r="X71" s="16">
        <v>109.52</v>
      </c>
      <c r="Y71" s="16">
        <v>109.52</v>
      </c>
      <c r="Z71" s="484">
        <v>17</v>
      </c>
      <c r="AA71" s="22">
        <v>19</v>
      </c>
      <c r="AB71" s="508">
        <v>18</v>
      </c>
      <c r="AC71" s="508">
        <v>16</v>
      </c>
      <c r="AD71" s="508">
        <v>47</v>
      </c>
      <c r="AE71" s="508">
        <v>44</v>
      </c>
      <c r="AF71" s="508">
        <v>29</v>
      </c>
      <c r="AG71" s="508">
        <v>28</v>
      </c>
      <c r="AH71" s="30">
        <v>2.6111111111111112</v>
      </c>
      <c r="AI71" s="30">
        <v>2.75</v>
      </c>
      <c r="AJ71" s="16">
        <v>4</v>
      </c>
      <c r="AK71" s="508">
        <v>6</v>
      </c>
      <c r="AL71" s="16">
        <v>56</v>
      </c>
      <c r="AM71" s="91">
        <v>59</v>
      </c>
      <c r="AN71" s="91">
        <v>198.5</v>
      </c>
      <c r="AO71" s="91">
        <v>33.46</v>
      </c>
      <c r="AP71" s="91">
        <v>32.25</v>
      </c>
      <c r="AQ71" s="107">
        <v>192.41606334841629</v>
      </c>
      <c r="AR71" s="107">
        <v>40.934077712132151</v>
      </c>
      <c r="AS71" s="107">
        <v>35.971193395449163</v>
      </c>
      <c r="AT71" s="5" t="s">
        <v>134</v>
      </c>
      <c r="AU71" s="16">
        <v>64</v>
      </c>
      <c r="AV71" s="16">
        <v>0</v>
      </c>
      <c r="AW71" s="16">
        <v>0</v>
      </c>
      <c r="AX71" s="16">
        <v>0</v>
      </c>
      <c r="AY71" s="74">
        <v>100</v>
      </c>
      <c r="AZ71" s="30">
        <v>100</v>
      </c>
      <c r="BA71" s="30">
        <v>0</v>
      </c>
      <c r="BB71" s="30">
        <v>0</v>
      </c>
      <c r="BC71" s="90">
        <v>70</v>
      </c>
      <c r="BD71" s="508">
        <v>72</v>
      </c>
      <c r="BE71" s="30">
        <v>0.72916666666666663</v>
      </c>
      <c r="BF71" s="107">
        <v>0.75</v>
      </c>
      <c r="BG71" s="108" t="s">
        <v>67</v>
      </c>
      <c r="BH71" s="74">
        <v>100</v>
      </c>
      <c r="BI71" s="30">
        <v>97.619047619047635</v>
      </c>
      <c r="BJ71" s="30">
        <v>422.66666666666669</v>
      </c>
      <c r="BK71" s="30">
        <v>614.69444444444446</v>
      </c>
      <c r="BL71" s="30">
        <v>100</v>
      </c>
      <c r="BM71" s="30">
        <v>100</v>
      </c>
      <c r="BN71" s="30">
        <v>443.33333333333331</v>
      </c>
      <c r="BO71" s="30">
        <v>607</v>
      </c>
      <c r="BP71" s="30">
        <v>100</v>
      </c>
      <c r="BQ71" s="30">
        <v>98.809523809523824</v>
      </c>
      <c r="BR71" s="30">
        <v>433</v>
      </c>
      <c r="BS71" s="30">
        <v>610.84722222222217</v>
      </c>
      <c r="BT71" s="30">
        <v>40.962336889858477</v>
      </c>
      <c r="BU71" s="107">
        <v>155.04803539752567</v>
      </c>
      <c r="BV71" s="193">
        <v>100</v>
      </c>
      <c r="BW71" s="193">
        <v>100</v>
      </c>
      <c r="BX71" s="193">
        <v>368.08333333333331</v>
      </c>
      <c r="BY71" s="193">
        <v>460.5</v>
      </c>
      <c r="BZ71" s="193">
        <v>100</v>
      </c>
      <c r="CA71" s="193">
        <v>100</v>
      </c>
      <c r="CB71" s="193">
        <v>380.33333333333331</v>
      </c>
      <c r="CC71" s="193">
        <v>440</v>
      </c>
      <c r="CD71" s="193">
        <v>100</v>
      </c>
      <c r="CE71" s="193">
        <v>100</v>
      </c>
      <c r="CF71" s="193">
        <v>374.20833333333331</v>
      </c>
      <c r="CG71" s="193">
        <v>450.25</v>
      </c>
      <c r="CH71" s="193">
        <v>55.282656425404184</v>
      </c>
      <c r="CI71" s="107">
        <v>79.325005652310736</v>
      </c>
      <c r="CJ71" s="247" t="s">
        <v>296</v>
      </c>
      <c r="CK71" s="247" t="s">
        <v>296</v>
      </c>
      <c r="CM71" s="247" t="s">
        <v>296</v>
      </c>
      <c r="CO71" s="247" t="s">
        <v>296</v>
      </c>
      <c r="CQ71" s="247" t="s">
        <v>296</v>
      </c>
      <c r="CS71" s="247" t="s">
        <v>296</v>
      </c>
      <c r="CU71" s="247" t="s">
        <v>296</v>
      </c>
      <c r="CW71" s="247" t="s">
        <v>296</v>
      </c>
      <c r="CY71" s="247" t="s">
        <v>296</v>
      </c>
      <c r="DE71" s="570" t="s">
        <v>655</v>
      </c>
    </row>
    <row r="72" spans="1:113" x14ac:dyDescent="0.2">
      <c r="A72" s="216">
        <v>58.24</v>
      </c>
      <c r="B72" s="595" t="s">
        <v>370</v>
      </c>
      <c r="C72" s="595" t="s">
        <v>297</v>
      </c>
      <c r="D72" s="158" t="s">
        <v>297</v>
      </c>
      <c r="E72" s="605" t="s">
        <v>297</v>
      </c>
      <c r="F72" s="22">
        <v>2</v>
      </c>
      <c r="G72" s="5">
        <v>1</v>
      </c>
      <c r="H72" s="152">
        <v>22917</v>
      </c>
      <c r="I72" s="152">
        <v>41703</v>
      </c>
      <c r="J72" s="152">
        <v>42439</v>
      </c>
      <c r="K72" s="109">
        <f t="shared" si="2"/>
        <v>2.0164383561643837</v>
      </c>
      <c r="L72" s="109">
        <f t="shared" si="3"/>
        <v>24.197260273972603</v>
      </c>
      <c r="M72" s="22">
        <v>51.4</v>
      </c>
      <c r="N72" s="579">
        <v>54.3</v>
      </c>
      <c r="O72" s="90">
        <v>80</v>
      </c>
      <c r="P72" s="16">
        <v>0</v>
      </c>
      <c r="Q72" s="22">
        <v>0</v>
      </c>
      <c r="R72" s="16">
        <v>23</v>
      </c>
      <c r="S72" s="22">
        <v>18</v>
      </c>
      <c r="T72" s="16">
        <v>12</v>
      </c>
      <c r="U72" s="22">
        <v>9</v>
      </c>
      <c r="V72" s="16">
        <v>11</v>
      </c>
      <c r="W72" s="22">
        <v>9</v>
      </c>
      <c r="X72" s="16">
        <v>115.72</v>
      </c>
      <c r="Y72" s="16">
        <v>116.96</v>
      </c>
      <c r="Z72" s="484">
        <v>13</v>
      </c>
      <c r="AA72" s="22">
        <v>13</v>
      </c>
      <c r="AB72" s="508">
        <v>30</v>
      </c>
      <c r="AC72" s="508">
        <v>26</v>
      </c>
      <c r="AD72" s="508">
        <v>47</v>
      </c>
      <c r="AE72" s="508">
        <v>52</v>
      </c>
      <c r="AF72" s="508">
        <v>17</v>
      </c>
      <c r="AG72" s="508">
        <v>26</v>
      </c>
      <c r="AH72" s="30">
        <v>1.5666666666666667</v>
      </c>
      <c r="AI72" s="30">
        <v>2</v>
      </c>
      <c r="AJ72" s="16">
        <v>6</v>
      </c>
      <c r="AK72" s="508">
        <v>6</v>
      </c>
      <c r="AL72" s="16">
        <v>40</v>
      </c>
      <c r="AM72" s="91">
        <v>53</v>
      </c>
      <c r="AN72" s="91">
        <v>202.19</v>
      </c>
      <c r="AO72" s="91">
        <v>22.24</v>
      </c>
      <c r="AP72" s="91">
        <v>32.64</v>
      </c>
      <c r="AQ72" s="107">
        <v>189.64401397624039</v>
      </c>
      <c r="AR72" s="107">
        <v>29.928662980946001</v>
      </c>
      <c r="AS72" s="107">
        <v>28.847711714679587</v>
      </c>
      <c r="AT72" s="5" t="s">
        <v>143</v>
      </c>
      <c r="AU72" s="16">
        <v>62</v>
      </c>
      <c r="AV72" s="16">
        <v>1</v>
      </c>
      <c r="AW72" s="16">
        <v>1</v>
      </c>
      <c r="AX72" s="16">
        <v>2</v>
      </c>
      <c r="AY72" s="74">
        <v>96.875</v>
      </c>
      <c r="AZ72" s="30">
        <v>98.44</v>
      </c>
      <c r="BA72" s="30">
        <v>3.12</v>
      </c>
      <c r="BB72" s="30">
        <v>1.56</v>
      </c>
      <c r="BC72" s="90">
        <v>78</v>
      </c>
      <c r="BD72" s="508">
        <v>62</v>
      </c>
      <c r="BE72" s="30">
        <v>0.8125</v>
      </c>
      <c r="BF72" s="107">
        <v>0.65</v>
      </c>
      <c r="BG72" s="108" t="s">
        <v>68</v>
      </c>
      <c r="BH72" s="74">
        <v>100</v>
      </c>
      <c r="BI72" s="30">
        <v>100</v>
      </c>
      <c r="BJ72" s="30">
        <v>381.41666666666669</v>
      </c>
      <c r="BK72" s="30">
        <v>513.66666666666663</v>
      </c>
      <c r="BL72" s="30">
        <v>100</v>
      </c>
      <c r="BM72" s="30">
        <v>97.619047619047635</v>
      </c>
      <c r="BN72" s="30">
        <v>412.25</v>
      </c>
      <c r="BO72" s="30">
        <v>529.91666666666663</v>
      </c>
      <c r="BP72" s="30">
        <v>100</v>
      </c>
      <c r="BQ72" s="30">
        <v>98.809523809523824</v>
      </c>
      <c r="BR72" s="30">
        <v>396.83333333333337</v>
      </c>
      <c r="BS72" s="30">
        <v>521.79166666666663</v>
      </c>
      <c r="BT72" s="30">
        <v>37.823005038533459</v>
      </c>
      <c r="BU72" s="107">
        <v>164.8261216018833</v>
      </c>
      <c r="BV72" s="193">
        <v>100</v>
      </c>
      <c r="BW72" s="193">
        <v>100</v>
      </c>
      <c r="BX72" s="193">
        <v>415.16666666666669</v>
      </c>
      <c r="BY72" s="193">
        <v>563.08333333333337</v>
      </c>
      <c r="BZ72" s="193">
        <v>97.619047619047635</v>
      </c>
      <c r="CA72" s="193" t="s">
        <v>830</v>
      </c>
      <c r="CB72" s="193">
        <v>482</v>
      </c>
      <c r="CC72" s="193">
        <v>472.08333333333331</v>
      </c>
      <c r="CD72" s="193">
        <v>98.809523809523824</v>
      </c>
      <c r="CE72" s="193">
        <v>100</v>
      </c>
      <c r="CF72" s="193">
        <v>448.58333333333337</v>
      </c>
      <c r="CG72" s="193">
        <v>517.58333333333337</v>
      </c>
      <c r="CH72" s="107">
        <v>126.56942300800655</v>
      </c>
      <c r="CI72" s="107">
        <v>115.16442962044478</v>
      </c>
      <c r="CJ72" s="311" t="s">
        <v>297</v>
      </c>
      <c r="CK72" s="247" t="s">
        <v>296</v>
      </c>
      <c r="CM72" s="311" t="s">
        <v>297</v>
      </c>
      <c r="CN72" s="311" t="s">
        <v>547</v>
      </c>
      <c r="CO72" s="247" t="s">
        <v>296</v>
      </c>
      <c r="CQ72" s="311" t="s">
        <v>297</v>
      </c>
      <c r="CR72" s="311" t="s">
        <v>551</v>
      </c>
      <c r="CS72" s="247" t="s">
        <v>296</v>
      </c>
      <c r="CU72" s="311" t="s">
        <v>297</v>
      </c>
      <c r="CV72" s="311" t="s">
        <v>547</v>
      </c>
      <c r="CW72" s="247" t="s">
        <v>296</v>
      </c>
      <c r="CY72" s="311" t="s">
        <v>297</v>
      </c>
      <c r="CZ72" s="311" t="s">
        <v>600</v>
      </c>
      <c r="DE72" s="570"/>
    </row>
    <row r="73" spans="1:113" s="197" customFormat="1" x14ac:dyDescent="0.2">
      <c r="A73" s="342">
        <v>58.25</v>
      </c>
      <c r="B73" s="598" t="s">
        <v>380</v>
      </c>
      <c r="C73" s="598" t="s">
        <v>297</v>
      </c>
      <c r="D73" s="343" t="s">
        <v>297</v>
      </c>
      <c r="E73" s="608" t="s">
        <v>297</v>
      </c>
      <c r="F73" s="22">
        <v>2</v>
      </c>
      <c r="G73" s="153">
        <v>2</v>
      </c>
      <c r="H73" s="227">
        <v>29943</v>
      </c>
      <c r="I73" s="227">
        <v>41718</v>
      </c>
      <c r="J73" s="227"/>
      <c r="K73" s="109"/>
      <c r="L73" s="109"/>
      <c r="M73" s="22">
        <v>32.200000000000003</v>
      </c>
      <c r="N73" s="579"/>
      <c r="O73" s="449">
        <v>80</v>
      </c>
      <c r="P73" s="123">
        <v>24</v>
      </c>
      <c r="Q73" s="123"/>
      <c r="R73" s="123">
        <v>17</v>
      </c>
      <c r="S73" s="123"/>
      <c r="T73" s="123">
        <v>12</v>
      </c>
      <c r="U73" s="123"/>
      <c r="V73" s="123">
        <v>5</v>
      </c>
      <c r="W73" s="123"/>
      <c r="X73" s="123">
        <v>109.52</v>
      </c>
      <c r="Y73" s="123"/>
      <c r="Z73" s="487">
        <v>18</v>
      </c>
      <c r="AA73" s="123"/>
      <c r="AB73" s="506">
        <v>25</v>
      </c>
      <c r="AC73" s="506"/>
      <c r="AD73" s="506">
        <v>58</v>
      </c>
      <c r="AE73" s="506"/>
      <c r="AF73" s="506">
        <v>33</v>
      </c>
      <c r="AG73" s="506"/>
      <c r="AH73" s="358">
        <v>2.3199999999999998</v>
      </c>
      <c r="AI73" s="358"/>
      <c r="AJ73" s="123">
        <v>7</v>
      </c>
      <c r="AK73" s="506"/>
      <c r="AL73" s="123">
        <v>48</v>
      </c>
      <c r="AM73" s="466"/>
      <c r="AN73" s="466">
        <v>169.01</v>
      </c>
      <c r="AO73" s="466">
        <v>23.92</v>
      </c>
      <c r="AP73" s="466">
        <v>34.83</v>
      </c>
      <c r="AQ73" s="450"/>
      <c r="AR73" s="450"/>
      <c r="AS73" s="450"/>
      <c r="AT73" s="153" t="s">
        <v>134</v>
      </c>
      <c r="AU73" s="22">
        <v>64</v>
      </c>
      <c r="AV73" s="22">
        <v>0</v>
      </c>
      <c r="AW73" s="22">
        <v>0</v>
      </c>
      <c r="AX73" s="22">
        <v>0</v>
      </c>
      <c r="AY73" s="346">
        <v>100</v>
      </c>
      <c r="AZ73" s="191"/>
      <c r="BA73" s="191">
        <v>0</v>
      </c>
      <c r="BB73" s="191"/>
      <c r="BC73" s="151">
        <v>49</v>
      </c>
      <c r="BD73" s="509"/>
      <c r="BE73" s="191">
        <v>0.51041666666666663</v>
      </c>
      <c r="BF73" s="344"/>
      <c r="BG73" s="345" t="s">
        <v>68</v>
      </c>
      <c r="BH73" s="467">
        <v>100</v>
      </c>
      <c r="BI73" s="358">
        <v>95.238095238095241</v>
      </c>
      <c r="BJ73" s="358">
        <v>463.58333333333331</v>
      </c>
      <c r="BK73" s="358">
        <v>704.91666666666663</v>
      </c>
      <c r="BL73" s="358">
        <v>97.619047619047635</v>
      </c>
      <c r="BM73" s="358">
        <v>90.476190476190482</v>
      </c>
      <c r="BN73" s="358">
        <v>465.6944444444444</v>
      </c>
      <c r="BO73" s="358">
        <v>618.97222222222217</v>
      </c>
      <c r="BP73" s="358">
        <v>98.809523809523824</v>
      </c>
      <c r="BQ73" s="358">
        <v>92.857142857142861</v>
      </c>
      <c r="BR73" s="358">
        <v>464.63888888888886</v>
      </c>
      <c r="BS73" s="358">
        <v>661.94444444444434</v>
      </c>
      <c r="BT73" s="358">
        <v>58.832179089701356</v>
      </c>
      <c r="BU73" s="450">
        <v>177.35191742515516</v>
      </c>
      <c r="BV73" s="563"/>
      <c r="BW73" s="563"/>
      <c r="BX73" s="563"/>
      <c r="BY73" s="563"/>
      <c r="BZ73" s="563"/>
      <c r="CA73" s="563"/>
      <c r="CB73" s="563"/>
      <c r="CC73" s="563"/>
      <c r="CD73" s="563"/>
      <c r="CE73" s="563"/>
      <c r="CF73" s="563"/>
      <c r="CG73" s="563"/>
      <c r="CH73" s="563"/>
      <c r="CI73" s="344"/>
      <c r="CJ73" s="251" t="s">
        <v>296</v>
      </c>
      <c r="CK73" s="314" t="s">
        <v>544</v>
      </c>
      <c r="CL73" s="325" t="s">
        <v>545</v>
      </c>
      <c r="CM73" s="314" t="s">
        <v>351</v>
      </c>
      <c r="CN73" s="314" t="s">
        <v>548</v>
      </c>
      <c r="CO73" s="314" t="s">
        <v>544</v>
      </c>
      <c r="CP73" s="325" t="s">
        <v>545</v>
      </c>
      <c r="CQ73" s="314" t="s">
        <v>351</v>
      </c>
      <c r="CR73" s="314" t="s">
        <v>548</v>
      </c>
      <c r="CS73" s="314" t="s">
        <v>544</v>
      </c>
      <c r="CT73" s="325" t="s">
        <v>545</v>
      </c>
      <c r="CU73" s="314" t="s">
        <v>297</v>
      </c>
      <c r="CV73" s="314" t="s">
        <v>581</v>
      </c>
      <c r="CW73" s="314" t="s">
        <v>544</v>
      </c>
      <c r="CX73" s="325" t="s">
        <v>545</v>
      </c>
      <c r="CY73" s="314" t="s">
        <v>297</v>
      </c>
      <c r="CZ73" s="314" t="s">
        <v>548</v>
      </c>
      <c r="DA73" s="251"/>
      <c r="DB73" s="251"/>
      <c r="DC73" s="251"/>
      <c r="DD73" s="251"/>
      <c r="DE73" s="571"/>
      <c r="DF73" s="22"/>
      <c r="DG73" s="592"/>
      <c r="DH73" s="660"/>
      <c r="DI73" s="146"/>
    </row>
    <row r="74" spans="1:113" x14ac:dyDescent="0.2">
      <c r="A74" s="216">
        <v>58.26</v>
      </c>
      <c r="B74" s="595" t="s">
        <v>422</v>
      </c>
      <c r="C74" s="595" t="s">
        <v>297</v>
      </c>
      <c r="D74" s="158" t="s">
        <v>297</v>
      </c>
      <c r="E74" s="605" t="s">
        <v>297</v>
      </c>
      <c r="F74" s="22">
        <v>2</v>
      </c>
      <c r="G74" s="5">
        <v>2</v>
      </c>
      <c r="H74" s="152">
        <v>31181</v>
      </c>
      <c r="I74" s="152">
        <v>41731</v>
      </c>
      <c r="J74" s="152">
        <v>42475</v>
      </c>
      <c r="K74" s="109">
        <f t="shared" si="2"/>
        <v>2.0383561643835617</v>
      </c>
      <c r="L74" s="109">
        <f t="shared" si="3"/>
        <v>24.460273972602742</v>
      </c>
      <c r="M74" s="22">
        <v>28.9</v>
      </c>
      <c r="N74" s="579">
        <v>30.9</v>
      </c>
      <c r="O74" s="90">
        <v>100</v>
      </c>
      <c r="P74" s="16">
        <v>8</v>
      </c>
      <c r="Q74" s="22">
        <v>2</v>
      </c>
      <c r="R74" s="16">
        <v>19</v>
      </c>
      <c r="S74" s="22">
        <v>19</v>
      </c>
      <c r="T74" s="16">
        <v>13</v>
      </c>
      <c r="U74" s="22">
        <v>11</v>
      </c>
      <c r="V74" s="16">
        <v>6</v>
      </c>
      <c r="W74" s="22">
        <v>8</v>
      </c>
      <c r="X74" s="16">
        <v>115.72</v>
      </c>
      <c r="Y74" s="16">
        <v>113.24</v>
      </c>
      <c r="Z74" s="484">
        <v>16</v>
      </c>
      <c r="AA74" s="22">
        <v>17</v>
      </c>
      <c r="AB74" s="508">
        <v>29</v>
      </c>
      <c r="AC74" s="508">
        <v>17</v>
      </c>
      <c r="AD74" s="508">
        <v>58</v>
      </c>
      <c r="AE74" s="508">
        <v>45</v>
      </c>
      <c r="AF74" s="508">
        <v>29</v>
      </c>
      <c r="AG74" s="508">
        <v>28</v>
      </c>
      <c r="AH74" s="30">
        <v>2</v>
      </c>
      <c r="AI74" s="30">
        <v>2.6470588235294117</v>
      </c>
      <c r="AJ74" s="16">
        <v>6</v>
      </c>
      <c r="AK74" s="508">
        <v>7</v>
      </c>
      <c r="AL74" s="16">
        <v>54</v>
      </c>
      <c r="AM74" s="91">
        <v>60</v>
      </c>
      <c r="AN74" s="91">
        <v>251.15</v>
      </c>
      <c r="AO74" s="91">
        <v>21.19</v>
      </c>
      <c r="AP74" s="91">
        <v>18.36</v>
      </c>
      <c r="AQ74" s="107">
        <v>265.42993316624899</v>
      </c>
      <c r="AR74" s="107">
        <v>18.028558778288964</v>
      </c>
      <c r="AS74" s="107">
        <v>13.935574984096737</v>
      </c>
      <c r="AT74" s="5" t="s">
        <v>143</v>
      </c>
      <c r="AU74" s="16">
        <v>63</v>
      </c>
      <c r="AV74" s="16">
        <v>0</v>
      </c>
      <c r="AW74" s="16">
        <v>1</v>
      </c>
      <c r="AX74" s="16">
        <v>1</v>
      </c>
      <c r="AY74" s="74">
        <v>98.4375</v>
      </c>
      <c r="AZ74" s="30">
        <v>100</v>
      </c>
      <c r="BA74" s="30">
        <v>1.56</v>
      </c>
      <c r="BB74" s="30">
        <v>0</v>
      </c>
      <c r="BC74" s="90">
        <v>104</v>
      </c>
      <c r="BD74" s="508">
        <v>99</v>
      </c>
      <c r="BE74" s="30">
        <v>1.0833333333333333</v>
      </c>
      <c r="BF74" s="107">
        <v>1.03</v>
      </c>
      <c r="BG74" s="108" t="s">
        <v>67</v>
      </c>
      <c r="BH74" s="74">
        <v>100</v>
      </c>
      <c r="BI74" s="30">
        <v>100</v>
      </c>
      <c r="BJ74" s="30">
        <v>526.83333333333337</v>
      </c>
      <c r="BK74" s="30">
        <v>567.58333333333337</v>
      </c>
      <c r="BL74" s="30">
        <v>100</v>
      </c>
      <c r="BM74" s="30">
        <v>97.619047619047635</v>
      </c>
      <c r="BN74" s="30">
        <v>545.66666666666663</v>
      </c>
      <c r="BO74" s="30">
        <v>642.33333333333337</v>
      </c>
      <c r="BP74" s="30">
        <v>100</v>
      </c>
      <c r="BQ74" s="30">
        <v>98.809523809523824</v>
      </c>
      <c r="BR74" s="30">
        <v>536.25</v>
      </c>
      <c r="BS74" s="30">
        <v>604.95833333333337</v>
      </c>
      <c r="BT74" s="30">
        <v>116.43705147641681</v>
      </c>
      <c r="BU74" s="107">
        <v>174.14231379692143</v>
      </c>
      <c r="BV74" s="193">
        <v>100</v>
      </c>
      <c r="BW74" s="193">
        <v>97.619047619047635</v>
      </c>
      <c r="BX74" s="193">
        <v>504.33333333333331</v>
      </c>
      <c r="BY74" s="193">
        <v>606.08333333333337</v>
      </c>
      <c r="BZ74" s="193">
        <v>100</v>
      </c>
      <c r="CA74" s="193">
        <v>100</v>
      </c>
      <c r="CB74" s="193">
        <v>588.66666666666663</v>
      </c>
      <c r="CC74" s="193">
        <v>568.41666666666663</v>
      </c>
      <c r="CD74" s="193">
        <v>100</v>
      </c>
      <c r="CE74" s="193">
        <v>98.809523809523824</v>
      </c>
      <c r="CF74" s="193">
        <v>546.5</v>
      </c>
      <c r="CG74" s="193">
        <v>546.5</v>
      </c>
      <c r="CH74" s="193">
        <v>86.127307188128555</v>
      </c>
      <c r="CI74" s="107">
        <v>165.99354718635871</v>
      </c>
      <c r="CJ74" s="247" t="s">
        <v>296</v>
      </c>
      <c r="CK74" s="247" t="s">
        <v>296</v>
      </c>
      <c r="CM74" s="247" t="s">
        <v>296</v>
      </c>
      <c r="CO74" s="247" t="s">
        <v>296</v>
      </c>
      <c r="CQ74" s="247" t="s">
        <v>296</v>
      </c>
      <c r="CS74" s="247" t="s">
        <v>296</v>
      </c>
      <c r="CU74" s="247" t="s">
        <v>296</v>
      </c>
      <c r="CW74" s="247" t="s">
        <v>296</v>
      </c>
      <c r="CY74" s="311" t="s">
        <v>297</v>
      </c>
      <c r="CZ74" s="311" t="s">
        <v>598</v>
      </c>
      <c r="DE74" s="570" t="s">
        <v>655</v>
      </c>
    </row>
    <row r="75" spans="1:113" x14ac:dyDescent="0.2">
      <c r="A75" s="216">
        <v>58.27</v>
      </c>
      <c r="B75" s="595" t="s">
        <v>423</v>
      </c>
      <c r="C75" s="595" t="s">
        <v>296</v>
      </c>
      <c r="D75" s="158" t="s">
        <v>296</v>
      </c>
      <c r="E75" s="605" t="s">
        <v>297</v>
      </c>
      <c r="F75" s="22">
        <v>2</v>
      </c>
      <c r="G75" s="5">
        <v>1</v>
      </c>
      <c r="H75" s="152">
        <v>32555</v>
      </c>
      <c r="I75" s="152">
        <v>41732</v>
      </c>
      <c r="J75" s="152"/>
      <c r="K75" s="109"/>
      <c r="L75" s="109"/>
      <c r="M75" s="22">
        <v>25</v>
      </c>
      <c r="N75" s="579"/>
      <c r="O75" s="90">
        <v>60</v>
      </c>
      <c r="P75" s="16">
        <v>6</v>
      </c>
      <c r="R75" s="16">
        <v>17</v>
      </c>
      <c r="T75" s="16">
        <v>9</v>
      </c>
      <c r="V75" s="16">
        <v>8</v>
      </c>
      <c r="X75" s="16">
        <v>102.08</v>
      </c>
      <c r="Z75" s="484">
        <v>16</v>
      </c>
      <c r="AB75" s="508">
        <v>18</v>
      </c>
      <c r="AD75" s="508">
        <v>79</v>
      </c>
      <c r="AF75" s="508">
        <v>61</v>
      </c>
      <c r="AG75" s="508"/>
      <c r="AH75" s="30">
        <v>4.3888888888888893</v>
      </c>
      <c r="AJ75" s="16">
        <v>6</v>
      </c>
      <c r="AL75" s="16">
        <v>56</v>
      </c>
      <c r="AN75" s="91">
        <v>164.25</v>
      </c>
      <c r="AO75" s="91">
        <v>23.96</v>
      </c>
      <c r="AP75" s="91">
        <v>34.67</v>
      </c>
      <c r="AT75" s="5" t="s">
        <v>134</v>
      </c>
      <c r="AU75" s="16">
        <v>62</v>
      </c>
      <c r="AV75" s="16">
        <v>0</v>
      </c>
      <c r="AW75" s="16">
        <v>2</v>
      </c>
      <c r="AX75" s="16">
        <v>2</v>
      </c>
      <c r="AY75" s="74">
        <v>96.875</v>
      </c>
      <c r="BA75" s="30">
        <v>3.125</v>
      </c>
      <c r="BC75" s="90">
        <v>74</v>
      </c>
      <c r="BE75" s="30">
        <v>0.77083333333333337</v>
      </c>
      <c r="BG75" s="108" t="s">
        <v>67</v>
      </c>
      <c r="BH75" s="74">
        <v>100</v>
      </c>
      <c r="BI75" s="30">
        <v>100</v>
      </c>
      <c r="BJ75" s="30">
        <v>425.66666666666669</v>
      </c>
      <c r="BK75" s="30">
        <v>411.66666666666669</v>
      </c>
      <c r="BL75" s="30">
        <v>100</v>
      </c>
      <c r="BM75" s="30">
        <v>90.476190476190482</v>
      </c>
      <c r="BN75" s="30">
        <v>395.25</v>
      </c>
      <c r="BO75" s="30">
        <v>478.33333333333331</v>
      </c>
      <c r="BP75" s="30">
        <v>100</v>
      </c>
      <c r="BQ75" s="30">
        <v>95.238095238095241</v>
      </c>
      <c r="BR75" s="30">
        <v>410.45833333333337</v>
      </c>
      <c r="BS75" s="30">
        <v>445</v>
      </c>
      <c r="BT75" s="30">
        <v>77.445621408587883</v>
      </c>
      <c r="BU75" s="107">
        <v>101.43196598185274</v>
      </c>
      <c r="CJ75" s="247" t="s">
        <v>296</v>
      </c>
      <c r="CK75" s="247" t="s">
        <v>296</v>
      </c>
      <c r="CM75" s="247" t="s">
        <v>296</v>
      </c>
      <c r="CO75" s="247" t="s">
        <v>296</v>
      </c>
      <c r="CQ75" s="247" t="s">
        <v>296</v>
      </c>
      <c r="CS75" s="247" t="s">
        <v>296</v>
      </c>
      <c r="CU75" s="247" t="s">
        <v>296</v>
      </c>
      <c r="CW75" s="311" t="s">
        <v>297</v>
      </c>
      <c r="CX75" s="320" t="s">
        <v>429</v>
      </c>
      <c r="CY75" s="311" t="s">
        <v>297</v>
      </c>
      <c r="CZ75" s="311" t="s">
        <v>597</v>
      </c>
      <c r="DE75" s="570"/>
    </row>
    <row r="76" spans="1:113" x14ac:dyDescent="0.2">
      <c r="A76" s="216">
        <v>58.28</v>
      </c>
      <c r="B76" s="595" t="s">
        <v>445</v>
      </c>
      <c r="C76" s="595" t="s">
        <v>297</v>
      </c>
      <c r="D76" s="158" t="s">
        <v>297</v>
      </c>
      <c r="E76" s="605" t="s">
        <v>297</v>
      </c>
      <c r="F76" s="22">
        <v>2</v>
      </c>
      <c r="G76" s="5">
        <v>2</v>
      </c>
      <c r="H76" s="152">
        <v>20556</v>
      </c>
      <c r="I76" s="152">
        <v>41738</v>
      </c>
      <c r="J76" s="152">
        <v>42481</v>
      </c>
      <c r="K76" s="109">
        <f t="shared" si="2"/>
        <v>2.0356164383561643</v>
      </c>
      <c r="L76" s="109">
        <f t="shared" si="3"/>
        <v>24.42739726027397</v>
      </c>
      <c r="M76" s="22">
        <v>58</v>
      </c>
      <c r="N76" s="579">
        <v>60</v>
      </c>
      <c r="O76" s="90">
        <v>82</v>
      </c>
      <c r="P76" s="16">
        <v>1</v>
      </c>
      <c r="Q76" s="22">
        <v>4</v>
      </c>
      <c r="R76" s="16">
        <v>19</v>
      </c>
      <c r="S76" s="22">
        <v>18</v>
      </c>
      <c r="T76" s="16">
        <v>12</v>
      </c>
      <c r="U76" s="22">
        <v>10</v>
      </c>
      <c r="V76" s="16">
        <v>7</v>
      </c>
      <c r="W76" s="22">
        <v>8</v>
      </c>
      <c r="X76" s="16">
        <v>114.47999999999999</v>
      </c>
      <c r="Y76" s="16">
        <v>114.47999999999999</v>
      </c>
      <c r="Z76" s="484">
        <v>22</v>
      </c>
      <c r="AA76" s="22">
        <v>22</v>
      </c>
      <c r="AB76" s="508">
        <v>30</v>
      </c>
      <c r="AC76" s="508">
        <v>26</v>
      </c>
      <c r="AD76" s="508">
        <v>62</v>
      </c>
      <c r="AE76" s="508">
        <v>58</v>
      </c>
      <c r="AF76" s="508">
        <v>32</v>
      </c>
      <c r="AG76" s="508">
        <v>32</v>
      </c>
      <c r="AH76" s="30">
        <v>2.0666666666666669</v>
      </c>
      <c r="AI76" s="30">
        <v>2.2307692307692308</v>
      </c>
      <c r="AJ76" s="16">
        <v>6</v>
      </c>
      <c r="AK76" s="508">
        <v>6</v>
      </c>
      <c r="AL76" s="16">
        <v>54</v>
      </c>
      <c r="AM76" s="91">
        <v>48</v>
      </c>
      <c r="AN76" s="91">
        <v>217.96</v>
      </c>
      <c r="AO76" s="91">
        <v>26.25</v>
      </c>
      <c r="AP76" s="91">
        <v>32.700000000000003</v>
      </c>
      <c r="AQ76" s="107">
        <v>226.53511111111112</v>
      </c>
      <c r="AR76" s="107">
        <v>24.525449882238757</v>
      </c>
      <c r="AS76" s="107">
        <v>32.947586872328422</v>
      </c>
      <c r="AT76" s="5" t="s">
        <v>143</v>
      </c>
      <c r="AU76" s="16">
        <v>64</v>
      </c>
      <c r="AV76" s="16">
        <v>0</v>
      </c>
      <c r="AW76" s="16">
        <v>0</v>
      </c>
      <c r="AX76" s="16">
        <v>0</v>
      </c>
      <c r="AY76" s="74">
        <v>100</v>
      </c>
      <c r="AZ76" s="30">
        <v>100</v>
      </c>
      <c r="BA76" s="30">
        <v>0</v>
      </c>
      <c r="BB76" s="30">
        <v>0</v>
      </c>
      <c r="BC76" s="90">
        <v>90</v>
      </c>
      <c r="BD76" s="508">
        <v>95</v>
      </c>
      <c r="BE76" s="30">
        <v>0.9375</v>
      </c>
      <c r="BF76" s="107">
        <v>0.99</v>
      </c>
      <c r="BG76" s="108" t="s">
        <v>68</v>
      </c>
      <c r="BH76" s="74">
        <v>100</v>
      </c>
      <c r="BI76" s="30">
        <v>97.619047619047635</v>
      </c>
      <c r="BJ76" s="30">
        <v>465.5</v>
      </c>
      <c r="BK76" s="30">
        <v>502.91666666666669</v>
      </c>
      <c r="BL76" s="30">
        <v>100</v>
      </c>
      <c r="BM76" s="30">
        <v>97.619047619047635</v>
      </c>
      <c r="BN76" s="30">
        <v>469.41666666666669</v>
      </c>
      <c r="BO76" s="30">
        <v>555.3611111111112</v>
      </c>
      <c r="BP76" s="30">
        <v>100</v>
      </c>
      <c r="BQ76" s="30">
        <v>97.619047619047635</v>
      </c>
      <c r="BR76" s="30">
        <v>467.45833333333337</v>
      </c>
      <c r="BS76" s="30">
        <v>529.13888888888891</v>
      </c>
      <c r="BT76" s="30">
        <v>47.341478427591852</v>
      </c>
      <c r="BU76" s="107">
        <v>125.443025191399</v>
      </c>
      <c r="BV76" s="193">
        <v>100</v>
      </c>
      <c r="BW76" s="193">
        <v>100</v>
      </c>
      <c r="BX76" s="193">
        <v>448.16666666666669</v>
      </c>
      <c r="BY76" s="193">
        <v>647.16666666666663</v>
      </c>
      <c r="BZ76" s="193">
        <v>100</v>
      </c>
      <c r="CA76" s="193">
        <v>97.619047619047635</v>
      </c>
      <c r="CB76" s="193">
        <v>495.33333333333331</v>
      </c>
      <c r="CC76" s="193">
        <v>498.9444444444444</v>
      </c>
      <c r="CD76" s="193">
        <v>100</v>
      </c>
      <c r="CE76" s="193">
        <v>98.809523809523824</v>
      </c>
      <c r="CF76" s="193">
        <v>471.75</v>
      </c>
      <c r="CG76" s="193">
        <v>573.05555555555554</v>
      </c>
      <c r="CH76" s="193">
        <v>75.803665163195859</v>
      </c>
      <c r="CI76" s="107">
        <v>154.3069421998479</v>
      </c>
      <c r="CJ76" s="247" t="s">
        <v>296</v>
      </c>
      <c r="CK76" s="247" t="s">
        <v>296</v>
      </c>
      <c r="CM76" s="311" t="s">
        <v>297</v>
      </c>
      <c r="CN76" s="311" t="s">
        <v>549</v>
      </c>
      <c r="CO76" s="247" t="s">
        <v>296</v>
      </c>
      <c r="CQ76" s="311" t="s">
        <v>297</v>
      </c>
      <c r="CR76" s="311" t="s">
        <v>549</v>
      </c>
      <c r="CS76" s="247" t="s">
        <v>296</v>
      </c>
      <c r="CU76" s="247" t="s">
        <v>296</v>
      </c>
      <c r="CW76" s="247" t="s">
        <v>296</v>
      </c>
      <c r="CY76" s="247" t="s">
        <v>296</v>
      </c>
      <c r="DE76" s="570" t="s">
        <v>655</v>
      </c>
    </row>
    <row r="77" spans="1:113" x14ac:dyDescent="0.2">
      <c r="A77" s="216">
        <v>58.29</v>
      </c>
      <c r="B77" s="595" t="s">
        <v>449</v>
      </c>
      <c r="C77" s="595" t="s">
        <v>297</v>
      </c>
      <c r="D77" s="158" t="s">
        <v>297</v>
      </c>
      <c r="E77" s="605" t="s">
        <v>297</v>
      </c>
      <c r="F77" s="22">
        <v>2</v>
      </c>
      <c r="G77" s="5">
        <v>1</v>
      </c>
      <c r="H77" s="152">
        <v>24081</v>
      </c>
      <c r="I77" s="152">
        <v>41746</v>
      </c>
      <c r="J77" s="152">
        <v>42517</v>
      </c>
      <c r="K77" s="109">
        <f t="shared" si="2"/>
        <v>2.1123287671232878</v>
      </c>
      <c r="L77" s="109">
        <f t="shared" si="3"/>
        <v>25.347945205479455</v>
      </c>
      <c r="M77" s="22">
        <v>48.3</v>
      </c>
      <c r="N77" s="579">
        <v>50.4</v>
      </c>
      <c r="O77" s="90">
        <v>100</v>
      </c>
      <c r="P77" s="16">
        <v>0</v>
      </c>
      <c r="Q77" s="22">
        <v>2</v>
      </c>
      <c r="R77" s="16">
        <v>14</v>
      </c>
      <c r="S77" s="22">
        <v>18</v>
      </c>
      <c r="T77" s="16">
        <v>7</v>
      </c>
      <c r="U77" s="22">
        <v>11</v>
      </c>
      <c r="V77" s="16">
        <v>7</v>
      </c>
      <c r="W77" s="22">
        <v>8</v>
      </c>
      <c r="X77" s="188">
        <v>90.919999999999987</v>
      </c>
      <c r="Y77" s="188">
        <v>95.88</v>
      </c>
      <c r="Z77" s="485">
        <v>18</v>
      </c>
      <c r="AA77" s="347">
        <v>18</v>
      </c>
      <c r="AB77" s="508">
        <v>26</v>
      </c>
      <c r="AC77" s="508">
        <v>32</v>
      </c>
      <c r="AD77" s="508">
        <v>66</v>
      </c>
      <c r="AE77" s="508">
        <v>53</v>
      </c>
      <c r="AF77" s="508">
        <v>40</v>
      </c>
      <c r="AG77" s="508">
        <v>21</v>
      </c>
      <c r="AH77" s="30">
        <v>2.5384615384615383</v>
      </c>
      <c r="AI77" s="30">
        <v>1.66</v>
      </c>
      <c r="AJ77" s="16">
        <v>7</v>
      </c>
      <c r="AK77" s="508">
        <v>6</v>
      </c>
      <c r="AL77" s="16">
        <v>56</v>
      </c>
      <c r="AM77" s="91">
        <v>55</v>
      </c>
      <c r="AN77" s="91">
        <v>180.65</v>
      </c>
      <c r="AO77" s="91">
        <v>19.22</v>
      </c>
      <c r="AP77" s="91">
        <v>21.48</v>
      </c>
      <c r="AQ77" s="107">
        <v>199.58015407076073</v>
      </c>
      <c r="AR77" s="107">
        <v>21.560185168455096</v>
      </c>
      <c r="AS77" s="107">
        <v>25.311146654133072</v>
      </c>
      <c r="AT77" s="5" t="s">
        <v>134</v>
      </c>
      <c r="AU77" s="16">
        <v>64</v>
      </c>
      <c r="AV77" s="16">
        <v>0</v>
      </c>
      <c r="AW77" s="16">
        <v>0</v>
      </c>
      <c r="AX77" s="16">
        <v>0</v>
      </c>
      <c r="AY77" s="74">
        <v>100</v>
      </c>
      <c r="AZ77" s="30">
        <v>100</v>
      </c>
      <c r="BA77" s="30">
        <v>0</v>
      </c>
      <c r="BB77" s="30">
        <v>0</v>
      </c>
      <c r="BC77" s="90">
        <v>57</v>
      </c>
      <c r="BE77" s="30">
        <v>0.59375</v>
      </c>
      <c r="BG77" s="108" t="s">
        <v>68</v>
      </c>
      <c r="BH77" s="74">
        <v>97.619047619047635</v>
      </c>
      <c r="BI77" s="30">
        <v>95.238095238095241</v>
      </c>
      <c r="BJ77" s="30">
        <v>437.5</v>
      </c>
      <c r="BK77" s="30">
        <v>595.3611111111112</v>
      </c>
      <c r="BL77" s="30">
        <v>100</v>
      </c>
      <c r="BM77" s="30">
        <v>100</v>
      </c>
      <c r="BN77" s="30">
        <v>494.91666666666669</v>
      </c>
      <c r="BO77" s="30">
        <v>507.66666666666669</v>
      </c>
      <c r="BP77" s="30">
        <v>98.809523809523824</v>
      </c>
      <c r="BQ77" s="30">
        <v>97.61904761904762</v>
      </c>
      <c r="BR77" s="30">
        <v>466.20833333333337</v>
      </c>
      <c r="BS77" s="30">
        <v>551.51388888888891</v>
      </c>
      <c r="BT77" s="30">
        <v>82.315395129722276</v>
      </c>
      <c r="BU77" s="107">
        <v>158.4894127044262</v>
      </c>
      <c r="BV77" s="193">
        <v>100</v>
      </c>
      <c r="BW77" s="193">
        <v>100</v>
      </c>
      <c r="BX77" s="193">
        <v>426.75</v>
      </c>
      <c r="BY77" s="193">
        <v>465.58333333333331</v>
      </c>
      <c r="BZ77" s="193">
        <v>100</v>
      </c>
      <c r="CA77" s="193">
        <v>100</v>
      </c>
      <c r="CB77" s="193">
        <v>452.66666666666669</v>
      </c>
      <c r="CC77" s="193">
        <v>467.5</v>
      </c>
      <c r="CD77" s="193">
        <v>100</v>
      </c>
      <c r="CE77" s="193">
        <v>100</v>
      </c>
      <c r="CF77" s="193">
        <v>439.70833333333337</v>
      </c>
      <c r="CG77" s="193">
        <v>466.54166666666663</v>
      </c>
      <c r="CH77" s="193">
        <v>122.06430207304548</v>
      </c>
      <c r="CI77" s="107">
        <v>120.16220166984672</v>
      </c>
      <c r="CJ77" s="247" t="s">
        <v>296</v>
      </c>
      <c r="CK77" s="247" t="s">
        <v>296</v>
      </c>
      <c r="CM77" s="311" t="s">
        <v>297</v>
      </c>
      <c r="CN77" s="311" t="s">
        <v>549</v>
      </c>
      <c r="CO77" s="247" t="s">
        <v>296</v>
      </c>
      <c r="CQ77" s="311" t="s">
        <v>297</v>
      </c>
      <c r="CR77" s="311" t="s">
        <v>549</v>
      </c>
      <c r="CS77" s="247" t="s">
        <v>296</v>
      </c>
      <c r="CU77" s="247" t="s">
        <v>296</v>
      </c>
      <c r="CW77" s="247" t="s">
        <v>296</v>
      </c>
      <c r="CY77" s="311" t="s">
        <v>297</v>
      </c>
      <c r="CZ77" s="311" t="s">
        <v>599</v>
      </c>
      <c r="DE77" s="570" t="s">
        <v>655</v>
      </c>
    </row>
    <row r="78" spans="1:113" x14ac:dyDescent="0.2">
      <c r="A78" s="216">
        <v>58.3</v>
      </c>
      <c r="B78" s="595" t="s">
        <v>462</v>
      </c>
      <c r="C78" s="595" t="s">
        <v>297</v>
      </c>
      <c r="D78" s="158" t="s">
        <v>297</v>
      </c>
      <c r="E78" s="605" t="s">
        <v>297</v>
      </c>
      <c r="F78" s="22">
        <v>2</v>
      </c>
      <c r="G78" s="5">
        <v>2</v>
      </c>
      <c r="H78" s="152">
        <v>27659</v>
      </c>
      <c r="I78" s="152">
        <v>41767</v>
      </c>
      <c r="J78" s="152">
        <v>42601</v>
      </c>
      <c r="K78" s="109">
        <f t="shared" si="2"/>
        <v>2.2849315068493152</v>
      </c>
      <c r="L78" s="109">
        <f t="shared" si="3"/>
        <v>27.419178082191785</v>
      </c>
      <c r="M78" s="22">
        <v>38.700000000000003</v>
      </c>
      <c r="N78" s="579">
        <v>40.9</v>
      </c>
      <c r="O78" s="90">
        <v>80</v>
      </c>
      <c r="P78" s="16">
        <v>2</v>
      </c>
      <c r="Q78" s="22">
        <v>0</v>
      </c>
      <c r="R78" s="16">
        <v>19</v>
      </c>
      <c r="S78" s="22">
        <v>16</v>
      </c>
      <c r="T78" s="16">
        <v>10</v>
      </c>
      <c r="U78" s="22">
        <v>10</v>
      </c>
      <c r="V78" s="16">
        <v>9</v>
      </c>
      <c r="W78" s="22">
        <v>6</v>
      </c>
      <c r="X78" s="16">
        <v>103.32</v>
      </c>
      <c r="Y78" s="16">
        <v>109.52</v>
      </c>
      <c r="Z78" s="484">
        <v>19</v>
      </c>
      <c r="AA78" s="22">
        <v>20</v>
      </c>
      <c r="AB78" s="508">
        <v>29</v>
      </c>
      <c r="AC78" s="508">
        <v>30</v>
      </c>
      <c r="AD78" s="508">
        <v>59</v>
      </c>
      <c r="AE78" s="508">
        <v>67</v>
      </c>
      <c r="AF78" s="508">
        <v>30</v>
      </c>
      <c r="AG78" s="508">
        <v>30</v>
      </c>
      <c r="AH78" s="30">
        <v>2.0344827586206895</v>
      </c>
      <c r="AI78" s="30">
        <v>1.81</v>
      </c>
      <c r="AJ78" s="16">
        <v>6</v>
      </c>
      <c r="AK78" s="508">
        <v>6</v>
      </c>
      <c r="AL78" s="16">
        <v>57</v>
      </c>
      <c r="AM78" s="91">
        <v>64</v>
      </c>
      <c r="AN78" s="91">
        <v>197.83</v>
      </c>
      <c r="AO78" s="91">
        <v>16.899999999999999</v>
      </c>
      <c r="AP78" s="91">
        <v>23.54</v>
      </c>
      <c r="AQ78" s="107">
        <v>198.83934965290464</v>
      </c>
      <c r="AR78" s="107">
        <v>19.14543029235773</v>
      </c>
      <c r="AS78" s="107">
        <v>26.724716818368982</v>
      </c>
      <c r="AT78" s="5" t="s">
        <v>143</v>
      </c>
      <c r="AU78" s="16">
        <v>63</v>
      </c>
      <c r="AV78" s="16">
        <v>1</v>
      </c>
      <c r="AW78" s="16">
        <v>0</v>
      </c>
      <c r="AX78" s="16">
        <v>1</v>
      </c>
      <c r="AY78" s="74">
        <v>98.4375</v>
      </c>
      <c r="AZ78" s="30">
        <v>92.19</v>
      </c>
      <c r="BA78" s="30">
        <v>1.56</v>
      </c>
      <c r="BB78" s="30">
        <v>7.81</v>
      </c>
      <c r="BC78" s="90">
        <v>69</v>
      </c>
      <c r="BD78" s="508">
        <v>63</v>
      </c>
      <c r="BE78" s="30">
        <v>0.71875</v>
      </c>
      <c r="BF78" s="107">
        <v>0.66</v>
      </c>
      <c r="BG78" s="108" t="s">
        <v>67</v>
      </c>
      <c r="BH78" s="74">
        <v>100</v>
      </c>
      <c r="BI78" s="30">
        <v>100</v>
      </c>
      <c r="BJ78" s="30">
        <v>497.75</v>
      </c>
      <c r="BK78" s="30">
        <v>427.41666666666669</v>
      </c>
      <c r="BL78" s="30">
        <v>100</v>
      </c>
      <c r="BM78" s="30">
        <v>97.619047619047635</v>
      </c>
      <c r="BN78" s="30">
        <v>510.58333333333331</v>
      </c>
      <c r="BO78" s="30">
        <v>556.83333333333337</v>
      </c>
      <c r="BP78" s="30">
        <v>100</v>
      </c>
      <c r="BQ78" s="30">
        <v>98.809523809523824</v>
      </c>
      <c r="BR78" s="30">
        <v>504.16666666666663</v>
      </c>
      <c r="BS78" s="30">
        <v>492.125</v>
      </c>
      <c r="BT78" s="30">
        <v>108.11896292939331</v>
      </c>
      <c r="BU78" s="107">
        <v>182.7414856919068</v>
      </c>
      <c r="BV78" s="193">
        <v>95.238095238095241</v>
      </c>
      <c r="BW78" s="193">
        <v>100</v>
      </c>
      <c r="BX78" s="193">
        <v>385.41666666666669</v>
      </c>
      <c r="BY78" s="193">
        <v>399.25</v>
      </c>
      <c r="BZ78" s="193">
        <v>100</v>
      </c>
      <c r="CA78" s="193">
        <v>100</v>
      </c>
      <c r="CB78" s="193">
        <v>481.16666666666669</v>
      </c>
      <c r="CC78" s="193">
        <v>457.75</v>
      </c>
      <c r="CD78" s="193">
        <v>97.61904761904762</v>
      </c>
      <c r="CE78" s="193">
        <v>100</v>
      </c>
      <c r="CF78" s="193">
        <v>433.29166666666669</v>
      </c>
      <c r="CG78" s="193">
        <v>428.5</v>
      </c>
      <c r="CH78" s="193">
        <v>93.298301820181337</v>
      </c>
      <c r="CI78" s="107">
        <v>150.34366428720682</v>
      </c>
      <c r="CJ78" s="247" t="s">
        <v>296</v>
      </c>
      <c r="CK78" s="247" t="s">
        <v>296</v>
      </c>
      <c r="CM78" s="247" t="s">
        <v>296</v>
      </c>
      <c r="CO78" s="247" t="s">
        <v>296</v>
      </c>
      <c r="CQ78" s="247" t="s">
        <v>296</v>
      </c>
      <c r="CS78" s="247" t="s">
        <v>296</v>
      </c>
      <c r="CU78" s="247" t="s">
        <v>296</v>
      </c>
      <c r="CW78" s="247" t="s">
        <v>296</v>
      </c>
      <c r="CY78" s="247" t="s">
        <v>296</v>
      </c>
      <c r="DE78" s="570" t="s">
        <v>822</v>
      </c>
    </row>
    <row r="79" spans="1:113" x14ac:dyDescent="0.2">
      <c r="A79" s="216">
        <v>58.31</v>
      </c>
      <c r="B79" s="595" t="s">
        <v>486</v>
      </c>
      <c r="C79" s="595" t="s">
        <v>297</v>
      </c>
      <c r="D79" s="158" t="s">
        <v>296</v>
      </c>
      <c r="E79" s="605" t="s">
        <v>297</v>
      </c>
      <c r="F79" s="22">
        <v>2</v>
      </c>
      <c r="G79" s="5">
        <v>1</v>
      </c>
      <c r="H79" s="227">
        <v>23421</v>
      </c>
      <c r="I79" s="152">
        <v>41780</v>
      </c>
      <c r="J79" s="152">
        <v>42501</v>
      </c>
      <c r="K79" s="109">
        <f t="shared" si="2"/>
        <v>1.9753424657534246</v>
      </c>
      <c r="L79" s="109">
        <f t="shared" si="3"/>
        <v>23.704109589041096</v>
      </c>
      <c r="M79" s="22">
        <v>60.3</v>
      </c>
      <c r="N79" s="579">
        <v>62.3</v>
      </c>
      <c r="O79" s="90">
        <v>100</v>
      </c>
      <c r="P79" s="16">
        <v>1</v>
      </c>
      <c r="Q79" s="22">
        <v>2</v>
      </c>
      <c r="R79" s="16">
        <v>23</v>
      </c>
      <c r="S79" s="22">
        <v>20</v>
      </c>
      <c r="T79" s="16">
        <v>15</v>
      </c>
      <c r="U79" s="22">
        <v>12</v>
      </c>
      <c r="V79" s="16">
        <v>8</v>
      </c>
      <c r="W79" s="22">
        <v>8</v>
      </c>
      <c r="X79" s="16">
        <v>121.91999999999999</v>
      </c>
      <c r="Y79" s="16">
        <v>121.91999999999999</v>
      </c>
      <c r="Z79" s="484">
        <v>16</v>
      </c>
      <c r="AA79" s="22">
        <v>16</v>
      </c>
      <c r="AB79" s="508">
        <v>30</v>
      </c>
      <c r="AC79" s="508">
        <v>27</v>
      </c>
      <c r="AD79" s="508">
        <v>58</v>
      </c>
      <c r="AE79" s="508">
        <v>60</v>
      </c>
      <c r="AF79" s="508">
        <v>28</v>
      </c>
      <c r="AG79" s="508">
        <v>33</v>
      </c>
      <c r="AH79" s="30">
        <v>1.9333333333333333</v>
      </c>
      <c r="AI79" s="30">
        <v>2.2200000000000002</v>
      </c>
      <c r="AJ79" s="16">
        <v>6</v>
      </c>
      <c r="AK79" s="508">
        <v>6</v>
      </c>
      <c r="AL79" s="16">
        <v>53</v>
      </c>
      <c r="AM79" s="91">
        <v>57</v>
      </c>
      <c r="AN79" s="91">
        <v>224.69</v>
      </c>
      <c r="AO79" s="91">
        <v>23.23</v>
      </c>
      <c r="AP79" s="91">
        <v>27.92</v>
      </c>
      <c r="AQ79" s="107">
        <v>266.05953388372893</v>
      </c>
      <c r="AR79" s="107">
        <v>27.394451630105344</v>
      </c>
      <c r="AS79" s="107">
        <v>25.261979044934645</v>
      </c>
      <c r="AT79" s="5" t="s">
        <v>134</v>
      </c>
      <c r="AU79" s="16">
        <v>61</v>
      </c>
      <c r="AV79" s="16">
        <v>3</v>
      </c>
      <c r="AW79" s="16">
        <v>0</v>
      </c>
      <c r="AX79" s="16">
        <v>3</v>
      </c>
      <c r="AY79" s="74">
        <v>95.3125</v>
      </c>
      <c r="AZ79" s="30">
        <v>95.3125</v>
      </c>
      <c r="BA79" s="30">
        <v>4.6875</v>
      </c>
      <c r="BB79" s="30">
        <v>4.6900000000000004</v>
      </c>
      <c r="BC79" s="90">
        <v>82</v>
      </c>
      <c r="BD79" s="508">
        <v>77</v>
      </c>
      <c r="BE79" s="30">
        <v>0.85416666666666663</v>
      </c>
      <c r="BF79" s="107">
        <v>0.8</v>
      </c>
      <c r="BG79" s="108" t="s">
        <v>67</v>
      </c>
      <c r="BH79" s="74">
        <v>100</v>
      </c>
      <c r="BI79" s="30">
        <v>97.619047619047635</v>
      </c>
      <c r="BJ79" s="30">
        <v>412.66666666666669</v>
      </c>
      <c r="BK79" s="30">
        <v>510.75</v>
      </c>
      <c r="BL79" s="30">
        <v>100</v>
      </c>
      <c r="BM79" s="30">
        <v>97.619047619047635</v>
      </c>
      <c r="BN79" s="30">
        <v>440.33333333333331</v>
      </c>
      <c r="BO79" s="30">
        <v>540.75</v>
      </c>
      <c r="BP79" s="30">
        <v>100</v>
      </c>
      <c r="BQ79" s="30">
        <v>97.619047619047635</v>
      </c>
      <c r="BR79" s="30">
        <v>426.5</v>
      </c>
      <c r="BS79" s="30">
        <v>525.75</v>
      </c>
      <c r="BT79" s="30">
        <v>41.551434862474181</v>
      </c>
      <c r="BU79" s="107">
        <v>152.6932844968461</v>
      </c>
      <c r="BV79" s="193">
        <v>95.238095238095241</v>
      </c>
      <c r="BW79" s="193">
        <v>92.857142857142847</v>
      </c>
      <c r="BX79" s="193">
        <v>452.9444444444444</v>
      </c>
      <c r="BY79" s="193">
        <v>574.91666666666663</v>
      </c>
      <c r="BZ79" s="193">
        <v>100</v>
      </c>
      <c r="CA79" s="193">
        <v>97.619047619047635</v>
      </c>
      <c r="CB79" s="193">
        <v>464.91666666666669</v>
      </c>
      <c r="CC79" s="193">
        <v>449.58333333333331</v>
      </c>
      <c r="CD79" s="193">
        <v>97.61904761904762</v>
      </c>
      <c r="CE79" s="193">
        <v>95.238095238095241</v>
      </c>
      <c r="CF79" s="193">
        <v>458.93055555555554</v>
      </c>
      <c r="CG79" s="193">
        <v>512.25</v>
      </c>
      <c r="CH79" s="193">
        <v>100.85472665833804</v>
      </c>
      <c r="CI79" s="107">
        <v>203.8895826293288</v>
      </c>
      <c r="CJ79" s="247" t="s">
        <v>296</v>
      </c>
      <c r="CK79" s="247" t="s">
        <v>296</v>
      </c>
      <c r="CM79" s="311" t="s">
        <v>297</v>
      </c>
      <c r="CN79" s="311" t="s">
        <v>546</v>
      </c>
      <c r="CO79" s="247" t="s">
        <v>296</v>
      </c>
      <c r="CQ79" s="311" t="s">
        <v>297</v>
      </c>
      <c r="CR79" s="311" t="s">
        <v>552</v>
      </c>
      <c r="CS79" s="247" t="s">
        <v>296</v>
      </c>
      <c r="CU79" s="247" t="s">
        <v>296</v>
      </c>
      <c r="CW79" s="247" t="s">
        <v>296</v>
      </c>
      <c r="CY79" s="311" t="s">
        <v>297</v>
      </c>
      <c r="CZ79" s="311" t="s">
        <v>601</v>
      </c>
      <c r="DE79" s="570" t="s">
        <v>779</v>
      </c>
    </row>
    <row r="80" spans="1:113" x14ac:dyDescent="0.2">
      <c r="A80" s="216">
        <v>58.32</v>
      </c>
      <c r="B80" s="595" t="s">
        <v>496</v>
      </c>
      <c r="C80" s="595" t="s">
        <v>297</v>
      </c>
      <c r="D80" s="158" t="s">
        <v>297</v>
      </c>
      <c r="E80" s="605" t="s">
        <v>297</v>
      </c>
      <c r="F80" s="22">
        <v>2</v>
      </c>
      <c r="G80" s="5">
        <v>1</v>
      </c>
      <c r="H80" s="152">
        <v>25821</v>
      </c>
      <c r="I80" s="152">
        <v>41782</v>
      </c>
      <c r="J80" s="152">
        <v>42500</v>
      </c>
      <c r="K80" s="109">
        <f t="shared" si="2"/>
        <v>1.9671232876712328</v>
      </c>
      <c r="L80" s="109">
        <f t="shared" si="3"/>
        <v>23.605479452054794</v>
      </c>
      <c r="M80" s="22">
        <v>43.7</v>
      </c>
      <c r="N80" s="579">
        <v>45.7</v>
      </c>
      <c r="O80" s="90">
        <v>100</v>
      </c>
      <c r="P80" s="16">
        <v>0</v>
      </c>
      <c r="Q80" s="22">
        <v>0</v>
      </c>
      <c r="R80" s="16">
        <v>20</v>
      </c>
      <c r="S80" s="22">
        <v>24</v>
      </c>
      <c r="T80" s="16">
        <v>13</v>
      </c>
      <c r="U80" s="22">
        <v>13</v>
      </c>
      <c r="V80" s="16">
        <v>7</v>
      </c>
      <c r="W80" s="22">
        <v>11</v>
      </c>
      <c r="X80" s="16">
        <v>121.91999999999999</v>
      </c>
      <c r="Y80" s="16">
        <v>125.64</v>
      </c>
      <c r="Z80" s="484">
        <v>19</v>
      </c>
      <c r="AA80" s="22">
        <v>21</v>
      </c>
      <c r="AB80" s="508">
        <v>24</v>
      </c>
      <c r="AC80" s="508">
        <v>19</v>
      </c>
      <c r="AD80" s="508">
        <v>67</v>
      </c>
      <c r="AE80" s="508">
        <v>48</v>
      </c>
      <c r="AF80" s="508">
        <v>43</v>
      </c>
      <c r="AG80" s="508">
        <v>29</v>
      </c>
      <c r="AH80" s="30">
        <v>2.7916666666666665</v>
      </c>
      <c r="AI80" s="30">
        <v>2.5299999999999998</v>
      </c>
      <c r="AJ80" s="16">
        <v>9</v>
      </c>
      <c r="AK80" s="508">
        <v>7</v>
      </c>
      <c r="AL80" s="16">
        <v>51</v>
      </c>
      <c r="AM80" s="91">
        <v>57</v>
      </c>
      <c r="AN80" s="91">
        <v>224.64</v>
      </c>
      <c r="AO80" s="91">
        <v>24.87</v>
      </c>
      <c r="AP80" s="91">
        <v>28.67</v>
      </c>
      <c r="AQ80" s="107">
        <v>233.3680010088764</v>
      </c>
      <c r="AR80" s="107">
        <v>28.986999791206955</v>
      </c>
      <c r="AS80" s="107">
        <v>27.966735231066064</v>
      </c>
      <c r="AT80" s="5" t="s">
        <v>143</v>
      </c>
      <c r="AU80" s="16">
        <v>64</v>
      </c>
      <c r="AV80" s="16">
        <v>0</v>
      </c>
      <c r="AW80" s="16">
        <v>0</v>
      </c>
      <c r="AX80" s="16">
        <v>0</v>
      </c>
      <c r="AY80" s="74">
        <v>100</v>
      </c>
      <c r="AZ80" s="30">
        <v>96.875</v>
      </c>
      <c r="BA80" s="30">
        <v>0</v>
      </c>
      <c r="BB80" s="30">
        <v>3.12</v>
      </c>
      <c r="BC80" s="90">
        <v>71</v>
      </c>
      <c r="BD80" s="508">
        <v>63</v>
      </c>
      <c r="BE80" s="30">
        <v>0.73958333333333337</v>
      </c>
      <c r="BF80" s="107">
        <v>0.66</v>
      </c>
      <c r="BG80" s="108" t="s">
        <v>68</v>
      </c>
      <c r="BH80" s="74">
        <v>100</v>
      </c>
      <c r="BI80" s="30">
        <v>97.619047619047635</v>
      </c>
      <c r="BJ80" s="30">
        <v>480.58333333333331</v>
      </c>
      <c r="BK80" s="30">
        <v>498.63888888888886</v>
      </c>
      <c r="BL80" s="30">
        <v>100</v>
      </c>
      <c r="BM80" s="30">
        <v>95.238095238095241</v>
      </c>
      <c r="BN80" s="30">
        <v>492.75</v>
      </c>
      <c r="BO80" s="30">
        <v>588.66666666666663</v>
      </c>
      <c r="BP80" s="30">
        <v>100</v>
      </c>
      <c r="BQ80" s="30">
        <v>96.428571428571445</v>
      </c>
      <c r="BR80" s="30">
        <v>486.66666666666663</v>
      </c>
      <c r="BS80" s="30">
        <v>543.65277777777771</v>
      </c>
      <c r="BT80" s="30">
        <v>77.159161684689423</v>
      </c>
      <c r="BU80" s="107">
        <v>206.53973444536501</v>
      </c>
      <c r="BV80" s="193">
        <v>100</v>
      </c>
      <c r="BW80" s="193">
        <v>100</v>
      </c>
      <c r="BX80" s="193">
        <v>433.91666666666669</v>
      </c>
      <c r="BY80" s="193">
        <v>397.08333333333331</v>
      </c>
      <c r="BZ80" s="193">
        <v>100</v>
      </c>
      <c r="CA80" s="193">
        <v>100</v>
      </c>
      <c r="CB80" s="193">
        <v>382.66666666666669</v>
      </c>
      <c r="CC80" s="193">
        <v>399</v>
      </c>
      <c r="CD80" s="193">
        <v>100</v>
      </c>
      <c r="CE80" s="193">
        <v>100</v>
      </c>
      <c r="CF80" s="193">
        <v>408.29166666666669</v>
      </c>
      <c r="CG80" s="193">
        <v>398.04166666666663</v>
      </c>
      <c r="CH80" s="193">
        <v>79.2845613386785</v>
      </c>
      <c r="CI80" s="107">
        <v>102.44637161935518</v>
      </c>
      <c r="CJ80" s="247" t="s">
        <v>296</v>
      </c>
      <c r="CK80" s="247" t="s">
        <v>296</v>
      </c>
      <c r="CM80" s="247" t="s">
        <v>296</v>
      </c>
      <c r="CO80" s="247" t="s">
        <v>296</v>
      </c>
      <c r="CQ80" s="247" t="s">
        <v>296</v>
      </c>
      <c r="CS80" s="247" t="s">
        <v>296</v>
      </c>
      <c r="CU80" s="311" t="s">
        <v>297</v>
      </c>
      <c r="CV80" s="320" t="s">
        <v>582</v>
      </c>
      <c r="CW80" s="247" t="s">
        <v>296</v>
      </c>
      <c r="CY80" s="311" t="s">
        <v>297</v>
      </c>
      <c r="CZ80" s="311" t="s">
        <v>602</v>
      </c>
      <c r="DE80" s="570" t="s">
        <v>778</v>
      </c>
    </row>
    <row r="81" spans="1:109" x14ac:dyDescent="0.2">
      <c r="A81" s="216">
        <v>58.33</v>
      </c>
      <c r="B81" s="595" t="s">
        <v>497</v>
      </c>
      <c r="C81" s="595" t="s">
        <v>297</v>
      </c>
      <c r="D81" s="158" t="s">
        <v>297</v>
      </c>
      <c r="E81" s="605" t="s">
        <v>297</v>
      </c>
      <c r="F81" s="22">
        <v>2</v>
      </c>
      <c r="G81" s="5">
        <v>1</v>
      </c>
      <c r="H81" s="152">
        <v>24516</v>
      </c>
      <c r="I81" s="152">
        <v>41788</v>
      </c>
      <c r="J81" s="152">
        <v>42502</v>
      </c>
      <c r="K81" s="109">
        <f t="shared" si="2"/>
        <v>1.9561643835616438</v>
      </c>
      <c r="L81" s="109">
        <f t="shared" si="3"/>
        <v>23.473972602739725</v>
      </c>
      <c r="M81" s="22">
        <v>47.3</v>
      </c>
      <c r="N81" s="579">
        <v>49.3</v>
      </c>
      <c r="O81" s="90">
        <v>80</v>
      </c>
      <c r="P81" s="16">
        <v>3</v>
      </c>
      <c r="Q81" s="22">
        <v>2</v>
      </c>
      <c r="R81" s="16">
        <v>24</v>
      </c>
      <c r="S81" s="22">
        <v>23</v>
      </c>
      <c r="T81" s="16">
        <v>15</v>
      </c>
      <c r="U81" s="22">
        <v>14</v>
      </c>
      <c r="V81" s="16">
        <v>9</v>
      </c>
      <c r="W81" s="22">
        <v>9</v>
      </c>
      <c r="X81" s="16">
        <v>110.75999999999999</v>
      </c>
      <c r="Y81" s="16">
        <v>125.64</v>
      </c>
      <c r="Z81" s="484">
        <v>18</v>
      </c>
      <c r="AA81" s="22">
        <v>20</v>
      </c>
      <c r="AB81" s="508">
        <v>22</v>
      </c>
      <c r="AC81" s="508">
        <v>19</v>
      </c>
      <c r="AD81" s="508">
        <v>43</v>
      </c>
      <c r="AE81" s="508">
        <v>39</v>
      </c>
      <c r="AF81" s="508">
        <v>21</v>
      </c>
      <c r="AG81" s="508">
        <v>20</v>
      </c>
      <c r="AH81" s="30">
        <v>1.9545454545454546</v>
      </c>
      <c r="AI81" s="30">
        <v>2.0499999999999998</v>
      </c>
      <c r="AJ81" s="16">
        <v>6</v>
      </c>
      <c r="AK81" s="508">
        <v>6</v>
      </c>
      <c r="AL81" s="16">
        <v>63</v>
      </c>
      <c r="AM81" s="91">
        <v>57</v>
      </c>
      <c r="AN81" s="91">
        <v>228.47</v>
      </c>
      <c r="AO81" s="91">
        <v>24.03</v>
      </c>
      <c r="AP81" s="91">
        <v>30.55</v>
      </c>
      <c r="AQ81" s="107">
        <v>271.68923058114325</v>
      </c>
      <c r="AR81" s="107">
        <v>27.61515211246941</v>
      </c>
      <c r="AS81" s="107">
        <v>33.798905788437438</v>
      </c>
      <c r="AT81" s="5" t="s">
        <v>134</v>
      </c>
      <c r="AU81" s="16">
        <v>62</v>
      </c>
      <c r="AV81" s="16">
        <v>1</v>
      </c>
      <c r="AW81" s="16">
        <v>1</v>
      </c>
      <c r="AX81" s="16">
        <v>2</v>
      </c>
      <c r="AY81" s="74">
        <v>96.875</v>
      </c>
      <c r="AZ81" s="30">
        <v>100</v>
      </c>
      <c r="BA81" s="30">
        <v>3.125</v>
      </c>
      <c r="BB81" s="30">
        <v>0</v>
      </c>
      <c r="BC81" s="90">
        <v>67</v>
      </c>
      <c r="BD81" s="508">
        <v>74</v>
      </c>
      <c r="BE81" s="30">
        <v>0.69791666666666663</v>
      </c>
      <c r="BF81" s="107">
        <v>0.77083333333333337</v>
      </c>
      <c r="BG81" s="108" t="s">
        <v>68</v>
      </c>
      <c r="BH81" s="74">
        <v>100</v>
      </c>
      <c r="BI81" s="30">
        <v>100</v>
      </c>
      <c r="BJ81" s="30">
        <v>456.08333333333331</v>
      </c>
      <c r="BK81" s="30">
        <v>493.08333333333331</v>
      </c>
      <c r="BL81" s="30">
        <v>100</v>
      </c>
      <c r="BM81" s="30">
        <v>100</v>
      </c>
      <c r="BN81" s="30">
        <v>523.25</v>
      </c>
      <c r="BO81" s="30">
        <v>463.83333333333331</v>
      </c>
      <c r="BP81" s="30">
        <v>100</v>
      </c>
      <c r="BQ81" s="30">
        <v>100</v>
      </c>
      <c r="BR81" s="30">
        <v>489.66666666666663</v>
      </c>
      <c r="BS81" s="30">
        <v>478.45833333333331</v>
      </c>
      <c r="BT81" s="30">
        <v>91.041637233437939</v>
      </c>
      <c r="BU81" s="107">
        <v>85.936265142643094</v>
      </c>
      <c r="BV81" s="193">
        <v>100</v>
      </c>
      <c r="BW81" s="193">
        <v>100</v>
      </c>
      <c r="BX81" s="193">
        <v>433.08333333333331</v>
      </c>
      <c r="BY81" s="193">
        <v>389.33333333333331</v>
      </c>
      <c r="BZ81" s="193">
        <v>100</v>
      </c>
      <c r="CA81" s="193">
        <v>100</v>
      </c>
      <c r="CB81" s="193">
        <v>417.41666666666669</v>
      </c>
      <c r="CC81" s="193">
        <v>381.08333333333331</v>
      </c>
      <c r="CD81" s="193">
        <v>100</v>
      </c>
      <c r="CE81" s="193">
        <v>100</v>
      </c>
      <c r="CF81" s="193">
        <v>441.95833333333337</v>
      </c>
      <c r="CG81" s="193">
        <v>385.20833333333331</v>
      </c>
      <c r="CH81" s="193">
        <v>66.236237290736725</v>
      </c>
      <c r="CI81" s="107">
        <v>44.426763542267928</v>
      </c>
      <c r="CJ81" s="247" t="s">
        <v>296</v>
      </c>
      <c r="CK81" s="247" t="s">
        <v>296</v>
      </c>
      <c r="CM81" s="247" t="s">
        <v>296</v>
      </c>
      <c r="CO81" s="247" t="s">
        <v>296</v>
      </c>
      <c r="CQ81" s="311" t="s">
        <v>297</v>
      </c>
      <c r="CR81" s="311" t="s">
        <v>553</v>
      </c>
      <c r="CS81" s="247" t="s">
        <v>296</v>
      </c>
      <c r="CU81" s="247" t="s">
        <v>296</v>
      </c>
      <c r="CV81" s="323"/>
      <c r="CW81" s="247" t="s">
        <v>296</v>
      </c>
      <c r="CY81" s="247" t="s">
        <v>296</v>
      </c>
      <c r="DE81" s="570" t="s">
        <v>778</v>
      </c>
    </row>
    <row r="82" spans="1:109" x14ac:dyDescent="0.2">
      <c r="A82" s="216">
        <v>58.34</v>
      </c>
      <c r="B82" s="595" t="s">
        <v>516</v>
      </c>
      <c r="C82" s="595" t="s">
        <v>297</v>
      </c>
      <c r="D82" s="158" t="s">
        <v>297</v>
      </c>
      <c r="E82" s="605" t="s">
        <v>297</v>
      </c>
      <c r="F82" s="22">
        <v>2</v>
      </c>
      <c r="G82" s="5">
        <v>2</v>
      </c>
      <c r="H82" s="152">
        <v>21256</v>
      </c>
      <c r="I82" s="152">
        <v>41807</v>
      </c>
      <c r="J82" s="152">
        <v>42522</v>
      </c>
      <c r="K82" s="109">
        <f t="shared" si="2"/>
        <v>1.9589041095890412</v>
      </c>
      <c r="L82" s="109">
        <f t="shared" si="3"/>
        <v>23.506849315068493</v>
      </c>
      <c r="M82" s="22">
        <v>56.3</v>
      </c>
      <c r="N82" s="579">
        <v>58.3</v>
      </c>
      <c r="O82" s="90">
        <v>100</v>
      </c>
      <c r="P82" s="16">
        <v>0</v>
      </c>
      <c r="Q82" s="22">
        <v>0</v>
      </c>
      <c r="R82" s="16">
        <v>23</v>
      </c>
      <c r="S82" s="22">
        <v>29</v>
      </c>
      <c r="T82" s="16">
        <v>15</v>
      </c>
      <c r="U82" s="22">
        <v>16</v>
      </c>
      <c r="V82" s="16">
        <v>8</v>
      </c>
      <c r="W82" s="22">
        <v>13</v>
      </c>
      <c r="X82" s="16">
        <v>115.72</v>
      </c>
      <c r="Y82" s="16">
        <v>113.24</v>
      </c>
      <c r="Z82" s="484">
        <v>17</v>
      </c>
      <c r="AA82" s="22">
        <v>18</v>
      </c>
      <c r="AB82" s="508">
        <v>29</v>
      </c>
      <c r="AC82" s="508">
        <v>28</v>
      </c>
      <c r="AD82" s="508">
        <v>45</v>
      </c>
      <c r="AE82" s="508">
        <v>49</v>
      </c>
      <c r="AF82" s="508">
        <v>16</v>
      </c>
      <c r="AG82" s="508">
        <v>21</v>
      </c>
      <c r="AH82" s="30">
        <v>1.5517241379310345</v>
      </c>
      <c r="AI82" s="30">
        <v>1.75</v>
      </c>
      <c r="AJ82" s="16">
        <v>6</v>
      </c>
      <c r="AK82" s="508">
        <v>7</v>
      </c>
      <c r="AL82" s="16">
        <v>51</v>
      </c>
      <c r="AM82" s="91">
        <v>44</v>
      </c>
      <c r="AN82" s="91">
        <v>248.58</v>
      </c>
      <c r="AO82" s="91">
        <v>10.83</v>
      </c>
      <c r="AP82" s="91">
        <v>15.83</v>
      </c>
      <c r="AQ82" s="107">
        <v>240.14111498257839</v>
      </c>
      <c r="AR82" s="107">
        <v>12.688118788381384</v>
      </c>
      <c r="AS82" s="107">
        <v>15.896287721648196</v>
      </c>
      <c r="AT82" s="5" t="s">
        <v>143</v>
      </c>
      <c r="AU82" s="16">
        <v>59</v>
      </c>
      <c r="AV82" s="16">
        <v>0</v>
      </c>
      <c r="AW82" s="16">
        <v>5</v>
      </c>
      <c r="AX82" s="16">
        <v>5</v>
      </c>
      <c r="AY82" s="74">
        <v>92.1875</v>
      </c>
      <c r="AZ82" s="30">
        <v>98.4375</v>
      </c>
      <c r="BA82" s="30">
        <v>7.8125</v>
      </c>
      <c r="BB82" s="30">
        <v>1.5625</v>
      </c>
      <c r="BC82" s="90">
        <v>41</v>
      </c>
      <c r="BD82" s="508">
        <v>41</v>
      </c>
      <c r="BE82" s="30">
        <v>0.42708333333333331</v>
      </c>
      <c r="BF82" s="107">
        <v>0.42708333333333331</v>
      </c>
      <c r="BG82" s="108" t="s">
        <v>67</v>
      </c>
      <c r="BH82" s="74">
        <v>100</v>
      </c>
      <c r="BI82" s="30">
        <v>97.619047619047635</v>
      </c>
      <c r="BJ82" s="30">
        <v>462.66666666666669</v>
      </c>
      <c r="BK82" s="30">
        <v>569.75</v>
      </c>
      <c r="BL82" s="30">
        <v>100</v>
      </c>
      <c r="BM82" s="30">
        <v>100</v>
      </c>
      <c r="BN82" s="30">
        <v>472.16666666666669</v>
      </c>
      <c r="BO82" s="30">
        <v>685.33333333333337</v>
      </c>
      <c r="BP82" s="30">
        <v>100</v>
      </c>
      <c r="BQ82" s="30">
        <v>98.809523809523824</v>
      </c>
      <c r="BR82" s="30">
        <v>467.41666666666669</v>
      </c>
      <c r="BS82" s="30">
        <v>627.54166666666674</v>
      </c>
      <c r="BT82" s="30">
        <v>62.782520875927069</v>
      </c>
      <c r="BU82" s="107">
        <v>232.60191392660309</v>
      </c>
      <c r="BV82" s="193">
        <v>100</v>
      </c>
      <c r="BW82" s="193">
        <v>100</v>
      </c>
      <c r="BX82" s="193">
        <v>501</v>
      </c>
      <c r="BY82" s="193">
        <v>481.16666666666669</v>
      </c>
      <c r="BZ82" s="193">
        <v>100</v>
      </c>
      <c r="CA82" s="193">
        <v>100</v>
      </c>
      <c r="CB82" s="193">
        <v>493.41666666666669</v>
      </c>
      <c r="CC82" s="193">
        <v>624.58333333333337</v>
      </c>
      <c r="CD82" s="193">
        <v>100</v>
      </c>
      <c r="CE82" s="193">
        <v>100</v>
      </c>
      <c r="CF82" s="193">
        <v>497.20833333333337</v>
      </c>
      <c r="CG82" s="193">
        <v>552.875</v>
      </c>
      <c r="CH82" s="193">
        <v>90.063735483685932</v>
      </c>
      <c r="CI82" s="107">
        <v>197.48930901168561</v>
      </c>
      <c r="CJ82" s="247" t="s">
        <v>296</v>
      </c>
      <c r="CK82" s="247" t="s">
        <v>296</v>
      </c>
      <c r="CM82" s="247" t="s">
        <v>296</v>
      </c>
      <c r="CO82" s="247" t="s">
        <v>296</v>
      </c>
      <c r="CQ82" s="247" t="s">
        <v>296</v>
      </c>
      <c r="CS82" s="247" t="s">
        <v>296</v>
      </c>
      <c r="CU82" s="247" t="s">
        <v>296</v>
      </c>
      <c r="CV82" s="323"/>
      <c r="CW82" s="247" t="s">
        <v>296</v>
      </c>
      <c r="CY82" s="247" t="s">
        <v>296</v>
      </c>
      <c r="DE82" s="570" t="s">
        <v>790</v>
      </c>
    </row>
    <row r="83" spans="1:109" x14ac:dyDescent="0.2">
      <c r="A83" s="216">
        <v>58.35</v>
      </c>
      <c r="B83" s="595" t="s">
        <v>517</v>
      </c>
      <c r="C83" s="595" t="s">
        <v>297</v>
      </c>
      <c r="D83" s="158" t="s">
        <v>297</v>
      </c>
      <c r="E83" s="605" t="s">
        <v>297</v>
      </c>
      <c r="F83" s="22">
        <v>2</v>
      </c>
      <c r="G83" s="5">
        <v>1</v>
      </c>
      <c r="H83" s="152">
        <v>22136</v>
      </c>
      <c r="I83" s="152">
        <v>41807</v>
      </c>
      <c r="J83" s="152">
        <v>42503</v>
      </c>
      <c r="K83" s="109">
        <f t="shared" si="2"/>
        <v>1.9068493150684931</v>
      </c>
      <c r="L83" s="109">
        <f t="shared" si="3"/>
        <v>22.882191780821916</v>
      </c>
      <c r="M83" s="22">
        <v>53.8</v>
      </c>
      <c r="N83" s="579">
        <v>55.8</v>
      </c>
      <c r="O83" s="90">
        <v>100</v>
      </c>
      <c r="P83" s="16">
        <v>2</v>
      </c>
      <c r="Q83" s="22">
        <v>1</v>
      </c>
      <c r="R83" s="16">
        <v>18</v>
      </c>
      <c r="S83" s="22">
        <v>16</v>
      </c>
      <c r="T83" s="16">
        <v>13</v>
      </c>
      <c r="U83" s="22">
        <v>10</v>
      </c>
      <c r="V83" s="16">
        <v>5</v>
      </c>
      <c r="W83" s="22">
        <v>6</v>
      </c>
      <c r="X83" s="16">
        <v>98.359999999999985</v>
      </c>
      <c r="Y83" s="16">
        <v>102.08</v>
      </c>
      <c r="Z83" s="484">
        <v>21</v>
      </c>
      <c r="AA83" s="22">
        <v>21</v>
      </c>
      <c r="AB83" s="508">
        <v>27</v>
      </c>
      <c r="AC83" s="508">
        <v>35</v>
      </c>
      <c r="AD83" s="508">
        <v>63</v>
      </c>
      <c r="AE83" s="508">
        <v>86</v>
      </c>
      <c r="AF83" s="508">
        <v>36</v>
      </c>
      <c r="AG83" s="508">
        <v>51</v>
      </c>
      <c r="AH83" s="30">
        <v>2.3333333333333335</v>
      </c>
      <c r="AI83" s="30">
        <v>2.46</v>
      </c>
      <c r="AJ83" s="16">
        <v>6</v>
      </c>
      <c r="AK83" s="508">
        <v>6</v>
      </c>
      <c r="AL83" s="16">
        <v>55</v>
      </c>
      <c r="AM83" s="91">
        <v>46</v>
      </c>
      <c r="AN83" s="91">
        <v>311.55</v>
      </c>
      <c r="AO83" s="91">
        <v>21.47</v>
      </c>
      <c r="AP83" s="91">
        <v>29.88</v>
      </c>
      <c r="AQ83" s="107">
        <v>238.39971658334599</v>
      </c>
      <c r="AR83" s="107">
        <v>21.527940226584608</v>
      </c>
      <c r="AS83" s="107">
        <v>27.291828443100787</v>
      </c>
      <c r="AT83" s="5" t="s">
        <v>134</v>
      </c>
      <c r="AU83" s="16">
        <v>54</v>
      </c>
      <c r="AV83" s="16">
        <v>1</v>
      </c>
      <c r="AW83" s="16">
        <v>9</v>
      </c>
      <c r="AX83" s="16">
        <v>10</v>
      </c>
      <c r="AY83" s="74">
        <v>84.375</v>
      </c>
      <c r="AZ83" s="30">
        <v>96.875</v>
      </c>
      <c r="BA83" s="30">
        <v>15.625</v>
      </c>
      <c r="BB83" s="30">
        <v>3.125</v>
      </c>
      <c r="BC83" s="90">
        <v>102</v>
      </c>
      <c r="BD83" s="508">
        <v>131</v>
      </c>
      <c r="BE83" s="30">
        <v>1.0625</v>
      </c>
      <c r="BF83" s="107">
        <v>1.3645833333333333</v>
      </c>
      <c r="BG83" s="108" t="s">
        <v>67</v>
      </c>
      <c r="BH83" s="348">
        <v>83.333333333333329</v>
      </c>
      <c r="BI83" s="349">
        <v>92.857142857142847</v>
      </c>
      <c r="BJ83" s="349">
        <v>790.75</v>
      </c>
      <c r="BK83" s="349">
        <v>944</v>
      </c>
      <c r="BL83" s="349">
        <v>83.333333333333329</v>
      </c>
      <c r="BM83" s="349">
        <v>80.952380952380949</v>
      </c>
      <c r="BN83" s="349">
        <v>831.75</v>
      </c>
      <c r="BO83" s="349">
        <v>1224.125</v>
      </c>
      <c r="BP83" s="349">
        <v>83.333333333333329</v>
      </c>
      <c r="BQ83" s="349">
        <v>86.904761904761898</v>
      </c>
      <c r="BR83" s="349">
        <v>811.25</v>
      </c>
      <c r="BS83" s="349">
        <v>1084.0625</v>
      </c>
      <c r="BT83" s="349">
        <v>259.11199439822479</v>
      </c>
      <c r="BU83" s="350">
        <v>379.38095904764651</v>
      </c>
      <c r="BV83" s="193">
        <v>100</v>
      </c>
      <c r="BW83" s="193">
        <v>100</v>
      </c>
      <c r="BX83" s="193">
        <v>509.83333333333331</v>
      </c>
      <c r="BY83" s="193">
        <v>635.58333333333337</v>
      </c>
      <c r="BZ83" s="193">
        <v>100</v>
      </c>
      <c r="CA83" s="193">
        <v>100</v>
      </c>
      <c r="CB83" s="193">
        <v>617.08333333333337</v>
      </c>
      <c r="CC83" s="193">
        <v>772.66666666666663</v>
      </c>
      <c r="CD83" s="193">
        <v>100</v>
      </c>
      <c r="CE83" s="193">
        <v>100</v>
      </c>
      <c r="CF83" s="193">
        <v>563.45833333333337</v>
      </c>
      <c r="CG83" s="193">
        <v>704.125</v>
      </c>
      <c r="CH83" s="193">
        <v>170.1853156610953</v>
      </c>
      <c r="CI83" s="107">
        <v>304.58457988602743</v>
      </c>
      <c r="CJ83" s="247" t="s">
        <v>296</v>
      </c>
      <c r="CK83" s="247" t="s">
        <v>296</v>
      </c>
      <c r="CM83" s="247" t="s">
        <v>296</v>
      </c>
      <c r="CO83" s="247" t="s">
        <v>296</v>
      </c>
      <c r="CQ83" s="311" t="s">
        <v>297</v>
      </c>
      <c r="CR83" s="311">
        <v>106</v>
      </c>
      <c r="CS83" s="247" t="s">
        <v>296</v>
      </c>
      <c r="CU83" s="247" t="s">
        <v>296</v>
      </c>
      <c r="CV83" s="323"/>
      <c r="CW83" s="247" t="s">
        <v>296</v>
      </c>
      <c r="CY83" s="247" t="s">
        <v>296</v>
      </c>
      <c r="DE83" s="570" t="s">
        <v>655</v>
      </c>
    </row>
    <row r="84" spans="1:109" x14ac:dyDescent="0.2">
      <c r="A84" s="216">
        <v>58.36</v>
      </c>
      <c r="B84" s="595" t="s">
        <v>521</v>
      </c>
      <c r="C84" s="595" t="s">
        <v>297</v>
      </c>
      <c r="D84" s="158" t="s">
        <v>297</v>
      </c>
      <c r="E84" s="605" t="s">
        <v>297</v>
      </c>
      <c r="F84" s="22">
        <v>2</v>
      </c>
      <c r="G84" s="5">
        <v>2</v>
      </c>
      <c r="H84" s="152">
        <v>33542</v>
      </c>
      <c r="I84" s="152">
        <v>41809</v>
      </c>
      <c r="J84" s="152"/>
      <c r="K84" s="109"/>
      <c r="L84" s="109"/>
      <c r="M84" s="22">
        <v>22.7</v>
      </c>
      <c r="N84" s="579"/>
      <c r="O84" s="90">
        <v>80</v>
      </c>
      <c r="P84" s="16">
        <v>6</v>
      </c>
      <c r="R84" s="16">
        <v>20</v>
      </c>
      <c r="T84" s="16">
        <v>12</v>
      </c>
      <c r="V84" s="16">
        <v>8</v>
      </c>
      <c r="X84" s="16">
        <v>114.47999999999999</v>
      </c>
      <c r="Z84" s="486">
        <v>17</v>
      </c>
      <c r="AA84" s="22"/>
      <c r="AB84" s="508">
        <v>27</v>
      </c>
      <c r="AD84" s="508">
        <v>61</v>
      </c>
      <c r="AF84" s="508">
        <v>34</v>
      </c>
      <c r="AG84" s="508"/>
      <c r="AH84" s="30">
        <v>2.2592592592592591</v>
      </c>
      <c r="AJ84" s="16">
        <v>7</v>
      </c>
      <c r="AL84" s="16">
        <v>66</v>
      </c>
      <c r="AN84" s="91">
        <v>205.5</v>
      </c>
      <c r="AO84" s="91">
        <v>27.26</v>
      </c>
      <c r="AP84" s="91">
        <v>26.95</v>
      </c>
      <c r="AT84" s="5" t="s">
        <v>143</v>
      </c>
      <c r="AU84" s="16">
        <v>64</v>
      </c>
      <c r="AV84" s="16">
        <v>0</v>
      </c>
      <c r="AW84" s="16">
        <v>0</v>
      </c>
      <c r="AX84" s="16">
        <v>0</v>
      </c>
      <c r="AY84" s="74">
        <v>100</v>
      </c>
      <c r="BA84" s="30">
        <v>0</v>
      </c>
      <c r="BC84" s="90">
        <v>46</v>
      </c>
      <c r="BE84" s="30">
        <v>0.47916666666666669</v>
      </c>
      <c r="BG84" s="108" t="s">
        <v>68</v>
      </c>
      <c r="BH84" s="74">
        <v>100</v>
      </c>
      <c r="BI84" s="30">
        <v>92.857142857142847</v>
      </c>
      <c r="BJ84" s="30">
        <v>509.5</v>
      </c>
      <c r="BK84" s="30">
        <v>607.6111111111112</v>
      </c>
      <c r="BL84" s="30">
        <v>100</v>
      </c>
      <c r="BM84" s="30">
        <v>92.857142857142847</v>
      </c>
      <c r="BN84" s="30">
        <v>463.75</v>
      </c>
      <c r="BO84" s="30">
        <v>557.1111111111112</v>
      </c>
      <c r="BP84" s="30">
        <v>100</v>
      </c>
      <c r="BQ84" s="30">
        <v>92.857142857142847</v>
      </c>
      <c r="BR84" s="30">
        <v>486.625</v>
      </c>
      <c r="BS84" s="30">
        <v>582.3611111111112</v>
      </c>
      <c r="BT84" s="30">
        <v>84.777874728482431</v>
      </c>
      <c r="BU84" s="107">
        <v>104.37853747283152</v>
      </c>
      <c r="CJ84" s="247" t="s">
        <v>296</v>
      </c>
      <c r="CK84" s="247" t="s">
        <v>296</v>
      </c>
      <c r="CM84" s="247" t="s">
        <v>296</v>
      </c>
      <c r="CO84" s="247" t="s">
        <v>296</v>
      </c>
      <c r="CQ84" s="247" t="s">
        <v>296</v>
      </c>
      <c r="CS84" s="247" t="s">
        <v>296</v>
      </c>
      <c r="CU84" s="247" t="s">
        <v>296</v>
      </c>
      <c r="CV84" s="323"/>
      <c r="CW84" s="247" t="s">
        <v>296</v>
      </c>
      <c r="CY84" s="247" t="s">
        <v>296</v>
      </c>
      <c r="DE84" s="570"/>
    </row>
    <row r="85" spans="1:109" x14ac:dyDescent="0.2">
      <c r="A85" s="216">
        <v>58.37</v>
      </c>
      <c r="B85" s="595" t="s">
        <v>596</v>
      </c>
      <c r="C85" s="595" t="s">
        <v>297</v>
      </c>
      <c r="D85" s="158" t="s">
        <v>296</v>
      </c>
      <c r="E85" s="605" t="s">
        <v>297</v>
      </c>
      <c r="F85" s="22">
        <v>2</v>
      </c>
      <c r="G85" s="5">
        <v>2</v>
      </c>
      <c r="H85" s="152">
        <v>34960</v>
      </c>
      <c r="I85" s="152">
        <v>41816</v>
      </c>
      <c r="J85" s="152">
        <v>42535</v>
      </c>
      <c r="K85" s="109">
        <f t="shared" si="2"/>
        <v>1.9698630136986301</v>
      </c>
      <c r="L85" s="109">
        <f t="shared" si="3"/>
        <v>23.638356164383563</v>
      </c>
      <c r="M85" s="22">
        <v>18.8</v>
      </c>
      <c r="N85" s="579">
        <v>20.7</v>
      </c>
      <c r="O85" s="90">
        <v>100</v>
      </c>
      <c r="P85" s="16">
        <v>4</v>
      </c>
      <c r="Q85" s="22">
        <v>0</v>
      </c>
      <c r="R85" s="16">
        <v>25</v>
      </c>
      <c r="S85" s="22">
        <v>22</v>
      </c>
      <c r="T85" s="16">
        <v>14</v>
      </c>
      <c r="U85" s="22">
        <v>12</v>
      </c>
      <c r="V85" s="16">
        <v>11</v>
      </c>
      <c r="W85" s="22">
        <v>10</v>
      </c>
      <c r="X85" s="16">
        <v>121.91999999999999</v>
      </c>
      <c r="Y85" s="16">
        <v>123.16</v>
      </c>
      <c r="Z85" s="484">
        <v>13</v>
      </c>
      <c r="AA85" s="22">
        <v>15</v>
      </c>
      <c r="AB85" s="508">
        <v>26</v>
      </c>
      <c r="AC85" s="508">
        <v>13</v>
      </c>
      <c r="AD85" s="508">
        <v>44</v>
      </c>
      <c r="AE85" s="508">
        <v>29</v>
      </c>
      <c r="AF85" s="508">
        <v>18</v>
      </c>
      <c r="AG85" s="508">
        <v>16</v>
      </c>
      <c r="AH85" s="30">
        <v>1.6923076923076923</v>
      </c>
      <c r="AI85" s="30">
        <v>2.23</v>
      </c>
      <c r="AJ85" s="16">
        <v>6</v>
      </c>
      <c r="AK85" s="508">
        <v>7</v>
      </c>
      <c r="AL85" s="16">
        <v>61</v>
      </c>
      <c r="AM85" s="91">
        <v>69</v>
      </c>
      <c r="AN85" s="91">
        <v>207.16</v>
      </c>
      <c r="AO85" s="91">
        <v>20.7</v>
      </c>
      <c r="AP85" s="91">
        <v>23.14</v>
      </c>
      <c r="AQ85" s="107">
        <v>212.99716183574884</v>
      </c>
      <c r="AR85" s="107">
        <v>19.463625156466399</v>
      </c>
      <c r="AS85" s="107">
        <v>31.836182470169064</v>
      </c>
      <c r="AT85" s="5" t="s">
        <v>134</v>
      </c>
      <c r="AU85" s="16">
        <v>64</v>
      </c>
      <c r="AV85" s="16">
        <v>0</v>
      </c>
      <c r="AW85" s="16">
        <v>0</v>
      </c>
      <c r="AX85" s="16">
        <v>0</v>
      </c>
      <c r="AY85" s="74">
        <v>100</v>
      </c>
      <c r="AZ85" s="30">
        <v>93.75</v>
      </c>
      <c r="BA85" s="30">
        <v>0</v>
      </c>
      <c r="BB85" s="30">
        <v>6.25</v>
      </c>
      <c r="BC85" s="90">
        <v>47</v>
      </c>
      <c r="BD85" s="508">
        <v>66</v>
      </c>
      <c r="BE85" s="30">
        <v>0.48958333333333331</v>
      </c>
      <c r="BF85" s="107">
        <v>0.69</v>
      </c>
      <c r="BG85" s="108" t="s">
        <v>68</v>
      </c>
      <c r="BH85" s="74">
        <v>100</v>
      </c>
      <c r="BI85" s="30">
        <v>100</v>
      </c>
      <c r="BJ85" s="30">
        <v>514.75</v>
      </c>
      <c r="BK85" s="30">
        <v>525.66666666666663</v>
      </c>
      <c r="BL85" s="30">
        <v>100</v>
      </c>
      <c r="BM85" s="30">
        <v>92.857142857142847</v>
      </c>
      <c r="BN85" s="30">
        <v>513.5</v>
      </c>
      <c r="BO85" s="30">
        <v>717.41666666666663</v>
      </c>
      <c r="BP85" s="30">
        <v>100</v>
      </c>
      <c r="BQ85" s="30">
        <v>96.428571428571416</v>
      </c>
      <c r="BR85" s="30">
        <v>514.125</v>
      </c>
      <c r="BS85" s="30">
        <v>621.54166666666663</v>
      </c>
      <c r="BT85" s="30">
        <v>128.97667888285918</v>
      </c>
      <c r="BU85" s="107">
        <v>348.9287657241569</v>
      </c>
      <c r="BV85" s="193">
        <v>100</v>
      </c>
      <c r="BW85" s="193">
        <v>100</v>
      </c>
      <c r="BX85" s="193">
        <v>497.66666666666669</v>
      </c>
      <c r="BY85" s="193">
        <v>497.66666666666669</v>
      </c>
      <c r="BZ85" s="193">
        <v>92.857142857142847</v>
      </c>
      <c r="CA85" s="193">
        <v>92.857142857142847</v>
      </c>
      <c r="CB85" s="193">
        <v>438.75</v>
      </c>
      <c r="CC85" s="193">
        <v>438.75</v>
      </c>
      <c r="CD85" s="193">
        <v>96.428571428571416</v>
      </c>
      <c r="CE85" s="193">
        <v>94.047619047619065</v>
      </c>
      <c r="CF85" s="193">
        <v>468.20833333333337</v>
      </c>
      <c r="CG85" s="193">
        <v>599.48611111111109</v>
      </c>
      <c r="CH85" s="193">
        <v>125.43324055248598</v>
      </c>
      <c r="CI85" s="107">
        <v>280.21465247554119</v>
      </c>
      <c r="CJ85" s="247" t="s">
        <v>296</v>
      </c>
      <c r="CK85" s="247" t="s">
        <v>296</v>
      </c>
      <c r="CM85" s="247" t="s">
        <v>296</v>
      </c>
      <c r="CO85" s="247" t="s">
        <v>296</v>
      </c>
      <c r="CQ85" s="247" t="s">
        <v>296</v>
      </c>
      <c r="CS85" s="247" t="s">
        <v>296</v>
      </c>
      <c r="CU85" s="247" t="s">
        <v>296</v>
      </c>
      <c r="CW85" s="247" t="s">
        <v>296</v>
      </c>
      <c r="CY85" s="247" t="s">
        <v>296</v>
      </c>
      <c r="DE85" s="570" t="s">
        <v>796</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H94"/>
  <sheetViews>
    <sheetView workbookViewId="0">
      <pane ySplit="2" topLeftCell="A45" activePane="bottomLeft" state="frozen"/>
      <selection pane="bottomLeft" activeCell="O52" sqref="O52"/>
    </sheetView>
  </sheetViews>
  <sheetFormatPr baseColWidth="10" defaultColWidth="8.83203125" defaultRowHeight="15" x14ac:dyDescent="0.2"/>
  <cols>
    <col min="1" max="1" width="10.5" style="3" bestFit="1" customWidth="1"/>
    <col min="2" max="2" width="13.5" style="3" bestFit="1" customWidth="1"/>
    <col min="3" max="3" width="18.33203125" style="5" customWidth="1"/>
    <col min="4" max="5" width="5.5" style="5" customWidth="1"/>
    <col min="6" max="6" width="9.83203125" style="5" bestFit="1" customWidth="1"/>
    <col min="7" max="7" width="6.6640625" style="5" customWidth="1"/>
    <col min="8" max="8" width="11" style="5" bestFit="1" customWidth="1"/>
    <col min="9" max="9" width="7.5" style="5" customWidth="1"/>
    <col min="10" max="11" width="7.83203125" style="5" customWidth="1"/>
    <col min="12" max="13" width="6.5" style="5" customWidth="1"/>
    <col min="14" max="14" width="8.5" style="5" bestFit="1" customWidth="1"/>
    <col min="15" max="15" width="9.5" style="5" customWidth="1"/>
    <col min="16" max="16" width="18.6640625" style="7" bestFit="1" customWidth="1"/>
    <col min="17" max="17" width="9.6640625" style="9" customWidth="1"/>
    <col min="18" max="18" width="18.5" style="9" bestFit="1" customWidth="1"/>
    <col min="19" max="19" width="9.83203125" style="9" customWidth="1"/>
    <col min="20" max="21" width="6.6640625" style="292" customWidth="1"/>
    <col min="22" max="23" width="6.83203125" style="292" customWidth="1"/>
    <col min="24" max="24" width="8.5" style="5" customWidth="1"/>
    <col min="25" max="25" width="5.1640625" style="5" customWidth="1"/>
    <col min="26" max="26" width="14" style="5" bestFit="1" customWidth="1"/>
    <col min="27" max="27" width="6.5" style="5" customWidth="1"/>
    <col min="28" max="28" width="15" style="5" bestFit="1" customWidth="1"/>
    <col min="29" max="29" width="7" style="5" customWidth="1"/>
    <col min="30" max="30" width="20.5" style="5" bestFit="1" customWidth="1"/>
    <col min="31" max="31" width="8.6640625" style="5" customWidth="1"/>
    <col min="32" max="32" width="20.6640625" style="5" bestFit="1" customWidth="1"/>
    <col min="33" max="33" width="9.1640625" style="5" customWidth="1"/>
  </cols>
  <sheetData>
    <row r="1" spans="1:34" s="490" customFormat="1" x14ac:dyDescent="0.2">
      <c r="A1" s="489" t="s">
        <v>0</v>
      </c>
      <c r="B1" s="490" t="s">
        <v>1</v>
      </c>
      <c r="C1" s="491" t="s">
        <v>336</v>
      </c>
      <c r="D1" s="492" t="s">
        <v>2</v>
      </c>
      <c r="E1" s="492">
        <v>2</v>
      </c>
      <c r="F1" s="493" t="s">
        <v>3</v>
      </c>
      <c r="G1" s="493">
        <v>2</v>
      </c>
      <c r="H1" s="493" t="s">
        <v>313</v>
      </c>
      <c r="I1" s="493">
        <v>2</v>
      </c>
      <c r="J1" s="493" t="s">
        <v>314</v>
      </c>
      <c r="K1" s="493">
        <v>2</v>
      </c>
      <c r="L1" s="494" t="s">
        <v>4</v>
      </c>
      <c r="M1" s="494">
        <v>2</v>
      </c>
      <c r="N1" s="494" t="s">
        <v>669</v>
      </c>
      <c r="O1" s="494">
        <v>2</v>
      </c>
      <c r="P1" s="495" t="s">
        <v>15</v>
      </c>
      <c r="Q1" s="632">
        <v>2</v>
      </c>
      <c r="R1" s="496" t="s">
        <v>16</v>
      </c>
      <c r="S1" s="496" t="s">
        <v>627</v>
      </c>
      <c r="T1" s="298" t="s">
        <v>331</v>
      </c>
      <c r="U1" s="298">
        <v>2</v>
      </c>
      <c r="V1" s="298" t="s">
        <v>332</v>
      </c>
      <c r="W1" s="298">
        <v>2</v>
      </c>
      <c r="X1" s="497" t="s">
        <v>5</v>
      </c>
      <c r="Y1" s="497">
        <v>2</v>
      </c>
      <c r="Z1" s="498" t="s">
        <v>6</v>
      </c>
      <c r="AA1" s="498"/>
      <c r="AB1" s="580"/>
      <c r="AC1" s="580"/>
      <c r="AD1" s="580"/>
      <c r="AE1" s="580"/>
      <c r="AF1" s="580"/>
      <c r="AG1" s="580"/>
    </row>
    <row r="2" spans="1:34" s="1" customFormat="1" x14ac:dyDescent="0.2">
      <c r="A2" s="2"/>
      <c r="B2" s="2"/>
      <c r="C2" s="4"/>
      <c r="D2" s="4"/>
      <c r="E2" s="4"/>
      <c r="F2" s="4"/>
      <c r="G2" s="4"/>
      <c r="H2" s="4"/>
      <c r="I2" s="4"/>
      <c r="J2" s="4"/>
      <c r="K2" s="4"/>
      <c r="L2" s="4"/>
      <c r="M2" s="4"/>
      <c r="N2" s="4"/>
      <c r="O2" s="4"/>
      <c r="P2" s="12"/>
      <c r="Q2" s="8"/>
      <c r="R2" s="8"/>
      <c r="S2" s="8"/>
      <c r="T2" s="299"/>
      <c r="U2" s="299"/>
      <c r="V2" s="299"/>
      <c r="W2" s="299"/>
      <c r="X2" s="4"/>
      <c r="Y2" s="4"/>
      <c r="Z2" s="499" t="s">
        <v>7</v>
      </c>
      <c r="AA2" s="499">
        <v>2</v>
      </c>
      <c r="AB2" s="499" t="s">
        <v>8</v>
      </c>
      <c r="AC2" s="499">
        <v>2</v>
      </c>
      <c r="AD2" s="499" t="s">
        <v>9</v>
      </c>
      <c r="AE2" s="499">
        <v>2</v>
      </c>
      <c r="AF2" s="499" t="s">
        <v>10</v>
      </c>
      <c r="AG2" s="581">
        <v>2</v>
      </c>
    </row>
    <row r="3" spans="1:34" s="1" customFormat="1" x14ac:dyDescent="0.2">
      <c r="A3" s="2" t="s">
        <v>37</v>
      </c>
      <c r="B3" s="2"/>
      <c r="C3" s="4"/>
      <c r="D3" s="4"/>
      <c r="E3" s="4"/>
      <c r="F3" s="4"/>
      <c r="G3" s="4"/>
      <c r="H3" s="4"/>
      <c r="I3" s="4"/>
      <c r="J3" s="4"/>
      <c r="K3" s="4"/>
      <c r="L3" s="4"/>
      <c r="M3" s="4"/>
      <c r="N3" s="4"/>
      <c r="O3" s="4"/>
      <c r="P3" s="12"/>
      <c r="Q3" s="8"/>
      <c r="R3" s="8"/>
      <c r="S3" s="8"/>
      <c r="T3" s="299"/>
      <c r="U3" s="299"/>
      <c r="V3" s="299"/>
      <c r="W3" s="299"/>
      <c r="X3" s="4"/>
      <c r="Y3" s="4"/>
      <c r="Z3" s="4"/>
      <c r="AA3" s="4"/>
      <c r="AB3" s="4"/>
      <c r="AC3" s="4"/>
      <c r="AD3" s="4"/>
      <c r="AE3" s="4"/>
      <c r="AF3" s="4"/>
      <c r="AG3" s="500"/>
    </row>
    <row r="4" spans="1:34" s="11" customFormat="1" x14ac:dyDescent="0.2">
      <c r="A4" s="38" t="s">
        <v>42</v>
      </c>
      <c r="B4" s="38" t="s">
        <v>47</v>
      </c>
      <c r="C4" s="44">
        <v>100</v>
      </c>
      <c r="D4" s="44">
        <v>0</v>
      </c>
      <c r="E4" s="44"/>
      <c r="F4" s="44">
        <v>19</v>
      </c>
      <c r="G4" s="44"/>
      <c r="H4" s="44"/>
      <c r="I4" s="44"/>
      <c r="J4" s="44"/>
      <c r="K4" s="44"/>
      <c r="L4" s="44">
        <v>21</v>
      </c>
      <c r="M4" s="44"/>
      <c r="N4" s="44"/>
      <c r="O4" s="44"/>
      <c r="P4" s="45" t="s">
        <v>13</v>
      </c>
      <c r="Q4" s="46"/>
      <c r="R4" s="46" t="s">
        <v>14</v>
      </c>
      <c r="S4" s="46"/>
      <c r="T4" s="300"/>
      <c r="U4" s="300"/>
      <c r="V4" s="300"/>
      <c r="W4" s="300"/>
      <c r="X4" s="44">
        <v>5</v>
      </c>
      <c r="Y4" s="44"/>
      <c r="Z4" s="44">
        <v>38</v>
      </c>
      <c r="AA4" s="44"/>
      <c r="AB4" s="44">
        <v>42</v>
      </c>
      <c r="AC4" s="44"/>
      <c r="AD4" s="44">
        <v>45</v>
      </c>
      <c r="AE4" s="44"/>
      <c r="AF4" s="44">
        <v>60</v>
      </c>
      <c r="AG4" s="39"/>
      <c r="AH4" s="47" t="s">
        <v>34</v>
      </c>
    </row>
    <row r="5" spans="1:34" s="11" customFormat="1" x14ac:dyDescent="0.2">
      <c r="A5" s="38" t="s">
        <v>43</v>
      </c>
      <c r="B5" s="38" t="s">
        <v>11</v>
      </c>
      <c r="C5" s="39">
        <v>77.8</v>
      </c>
      <c r="D5" s="39">
        <v>1</v>
      </c>
      <c r="E5" s="39"/>
      <c r="F5" s="39">
        <v>23</v>
      </c>
      <c r="G5" s="39"/>
      <c r="H5" s="39">
        <v>12</v>
      </c>
      <c r="I5" s="39"/>
      <c r="J5" s="39">
        <v>11</v>
      </c>
      <c r="K5" s="39"/>
      <c r="L5" s="39">
        <v>108.3</v>
      </c>
      <c r="M5" s="39"/>
      <c r="N5" s="39"/>
      <c r="O5" s="39"/>
      <c r="P5" s="40">
        <v>6.9328703703703712E-2</v>
      </c>
      <c r="Q5" s="41"/>
      <c r="R5" s="41" t="s">
        <v>12</v>
      </c>
      <c r="S5" s="41"/>
      <c r="T5" s="301"/>
      <c r="U5" s="301"/>
      <c r="V5" s="301"/>
      <c r="W5" s="301"/>
      <c r="X5" s="39">
        <v>6</v>
      </c>
      <c r="Y5" s="39"/>
      <c r="Z5" s="39">
        <v>28</v>
      </c>
      <c r="AA5" s="39"/>
      <c r="AB5" s="39">
        <v>29</v>
      </c>
      <c r="AC5" s="39"/>
      <c r="AD5" s="39">
        <v>37</v>
      </c>
      <c r="AE5" s="39"/>
      <c r="AF5" s="39">
        <v>45</v>
      </c>
      <c r="AG5" s="39"/>
      <c r="AH5" s="47" t="s">
        <v>247</v>
      </c>
    </row>
    <row r="6" spans="1:34" s="49" customFormat="1" x14ac:dyDescent="0.2">
      <c r="A6" s="48" t="s">
        <v>44</v>
      </c>
      <c r="B6" s="48" t="s">
        <v>11</v>
      </c>
      <c r="C6" s="50">
        <v>100</v>
      </c>
      <c r="D6" s="50">
        <v>0</v>
      </c>
      <c r="E6" s="50">
        <v>6</v>
      </c>
      <c r="F6" s="50">
        <v>19</v>
      </c>
      <c r="G6" s="50">
        <v>14</v>
      </c>
      <c r="H6" s="50">
        <v>10</v>
      </c>
      <c r="I6" s="50">
        <v>8</v>
      </c>
      <c r="J6" s="50">
        <v>9</v>
      </c>
      <c r="K6" s="50">
        <v>6</v>
      </c>
      <c r="L6" s="50">
        <v>92.16</v>
      </c>
      <c r="M6" s="50">
        <v>98.359999999999985</v>
      </c>
      <c r="N6" s="50">
        <v>12</v>
      </c>
      <c r="O6" s="50">
        <v>12</v>
      </c>
      <c r="P6" s="51">
        <v>0.13679398148148147</v>
      </c>
      <c r="Q6" s="52">
        <v>0.10613425925925928</v>
      </c>
      <c r="R6" s="52" t="s">
        <v>17</v>
      </c>
      <c r="S6" s="52" t="s">
        <v>633</v>
      </c>
      <c r="T6" s="635">
        <v>120</v>
      </c>
      <c r="U6" s="635">
        <v>34</v>
      </c>
      <c r="V6" s="288">
        <v>1.6122448979591837</v>
      </c>
      <c r="W6" s="288">
        <v>1.2236842105263157</v>
      </c>
      <c r="X6" s="50">
        <v>3</v>
      </c>
      <c r="Y6" s="50">
        <v>3</v>
      </c>
      <c r="Z6" s="50">
        <v>15</v>
      </c>
      <c r="AA6" s="50">
        <v>15</v>
      </c>
      <c r="AB6" s="50">
        <v>19</v>
      </c>
      <c r="AC6" s="50">
        <v>28</v>
      </c>
      <c r="AD6" s="50">
        <v>39</v>
      </c>
      <c r="AE6" s="50">
        <v>37</v>
      </c>
      <c r="AF6" s="50">
        <v>59</v>
      </c>
      <c r="AG6" s="50">
        <v>55</v>
      </c>
      <c r="AH6" s="49" t="s">
        <v>39</v>
      </c>
    </row>
    <row r="7" spans="1:34" s="49" customFormat="1" x14ac:dyDescent="0.2">
      <c r="A7" s="48" t="s">
        <v>45</v>
      </c>
      <c r="B7" s="48" t="s">
        <v>11</v>
      </c>
      <c r="C7" s="53">
        <v>80</v>
      </c>
      <c r="D7" s="53">
        <v>0</v>
      </c>
      <c r="E7" s="53">
        <v>0</v>
      </c>
      <c r="F7" s="53">
        <v>17</v>
      </c>
      <c r="G7" s="53">
        <v>15</v>
      </c>
      <c r="H7" s="53">
        <v>13</v>
      </c>
      <c r="I7" s="53">
        <v>9</v>
      </c>
      <c r="J7" s="53">
        <v>4</v>
      </c>
      <c r="K7" s="53">
        <v>6</v>
      </c>
      <c r="L7" s="53">
        <v>103.32</v>
      </c>
      <c r="M7" s="53">
        <v>97.12</v>
      </c>
      <c r="N7" s="53">
        <v>18</v>
      </c>
      <c r="O7" s="53">
        <v>19</v>
      </c>
      <c r="P7" s="54" t="s">
        <v>21</v>
      </c>
      <c r="Q7" s="54" t="s">
        <v>634</v>
      </c>
      <c r="R7" s="54" t="s">
        <v>20</v>
      </c>
      <c r="S7" s="54" t="s">
        <v>635</v>
      </c>
      <c r="T7" s="636">
        <v>20</v>
      </c>
      <c r="U7" s="636">
        <v>40</v>
      </c>
      <c r="V7" s="289">
        <v>1.2597402597402598</v>
      </c>
      <c r="W7" s="289">
        <v>1.4938271604938271</v>
      </c>
      <c r="X7" s="53">
        <v>6</v>
      </c>
      <c r="Y7" s="53">
        <v>5</v>
      </c>
      <c r="Z7" s="53">
        <v>21</v>
      </c>
      <c r="AA7" s="53">
        <v>30</v>
      </c>
      <c r="AB7" s="53">
        <v>23</v>
      </c>
      <c r="AC7" s="53">
        <v>31</v>
      </c>
      <c r="AD7" s="53">
        <v>34</v>
      </c>
      <c r="AE7" s="53">
        <v>34</v>
      </c>
      <c r="AF7" s="53">
        <v>54</v>
      </c>
      <c r="AG7" s="53">
        <v>48</v>
      </c>
    </row>
    <row r="8" spans="1:34" s="49" customFormat="1" x14ac:dyDescent="0.2">
      <c r="A8" s="48" t="s">
        <v>46</v>
      </c>
      <c r="B8" s="48" t="s">
        <v>11</v>
      </c>
      <c r="C8" s="50">
        <v>100</v>
      </c>
      <c r="D8" s="57">
        <v>21</v>
      </c>
      <c r="E8" s="57">
        <v>21</v>
      </c>
      <c r="F8" s="50">
        <v>28</v>
      </c>
      <c r="G8" s="50">
        <v>29</v>
      </c>
      <c r="H8" s="50">
        <v>15</v>
      </c>
      <c r="I8" s="50">
        <v>16</v>
      </c>
      <c r="J8" s="50">
        <v>13</v>
      </c>
      <c r="K8" s="50">
        <v>13</v>
      </c>
      <c r="L8" s="50">
        <v>110.75999999999999</v>
      </c>
      <c r="M8" s="50">
        <v>112</v>
      </c>
      <c r="N8" s="50">
        <v>12</v>
      </c>
      <c r="O8" s="50">
        <v>14</v>
      </c>
      <c r="P8" s="52" t="s">
        <v>19</v>
      </c>
      <c r="Q8" s="52" t="s">
        <v>628</v>
      </c>
      <c r="R8" s="52" t="s">
        <v>18</v>
      </c>
      <c r="S8" s="52" t="s">
        <v>629</v>
      </c>
      <c r="T8" s="635">
        <v>6</v>
      </c>
      <c r="U8" s="635">
        <v>13</v>
      </c>
      <c r="V8" s="288">
        <v>1.096774193548387</v>
      </c>
      <c r="W8" s="288">
        <v>1.2708333333333333</v>
      </c>
      <c r="X8" s="50">
        <v>6</v>
      </c>
      <c r="Y8" s="50">
        <v>6</v>
      </c>
      <c r="Z8" s="50">
        <v>16</v>
      </c>
      <c r="AA8" s="50">
        <v>26</v>
      </c>
      <c r="AB8" s="50">
        <v>30</v>
      </c>
      <c r="AC8" s="50">
        <v>33</v>
      </c>
      <c r="AD8" s="50">
        <v>57</v>
      </c>
      <c r="AE8" s="50">
        <v>61</v>
      </c>
      <c r="AF8" s="50">
        <v>73</v>
      </c>
      <c r="AG8" s="50">
        <v>74</v>
      </c>
      <c r="AH8" s="49" t="s">
        <v>41</v>
      </c>
    </row>
    <row r="9" spans="1:34" x14ac:dyDescent="0.2">
      <c r="A9" s="3" t="s">
        <v>97</v>
      </c>
      <c r="B9" s="3" t="s">
        <v>11</v>
      </c>
      <c r="C9" s="6">
        <v>80</v>
      </c>
      <c r="D9" s="149">
        <v>39</v>
      </c>
      <c r="E9" s="149">
        <v>23</v>
      </c>
      <c r="F9" s="6">
        <v>12</v>
      </c>
      <c r="G9" s="6">
        <v>16</v>
      </c>
      <c r="H9" s="6">
        <v>8</v>
      </c>
      <c r="I9" s="6">
        <v>10</v>
      </c>
      <c r="J9" s="6">
        <v>6</v>
      </c>
      <c r="K9" s="6">
        <v>6</v>
      </c>
      <c r="L9" s="145">
        <v>94.639999999999986</v>
      </c>
      <c r="M9" s="145">
        <v>94.639999999999986</v>
      </c>
      <c r="N9" s="53">
        <v>16</v>
      </c>
      <c r="O9" s="53">
        <v>17</v>
      </c>
      <c r="P9" s="10" t="s">
        <v>144</v>
      </c>
      <c r="Q9" s="10" t="s">
        <v>652</v>
      </c>
      <c r="R9" s="10" t="s">
        <v>145</v>
      </c>
      <c r="S9" s="10" t="s">
        <v>653</v>
      </c>
      <c r="T9" s="637">
        <v>97</v>
      </c>
      <c r="U9" s="637">
        <v>74</v>
      </c>
      <c r="V9" s="290">
        <v>2.6440677966101696</v>
      </c>
      <c r="W9" s="290">
        <v>1.6434782608695653</v>
      </c>
      <c r="X9" s="149">
        <v>5</v>
      </c>
      <c r="Y9" s="149">
        <v>5</v>
      </c>
      <c r="Z9" s="6">
        <v>15</v>
      </c>
      <c r="AA9" s="6">
        <v>15</v>
      </c>
      <c r="AB9" s="6">
        <v>18</v>
      </c>
      <c r="AC9" s="6">
        <v>26</v>
      </c>
      <c r="AD9" s="6">
        <v>34</v>
      </c>
      <c r="AE9" s="6">
        <v>28</v>
      </c>
      <c r="AF9" s="6">
        <v>57</v>
      </c>
      <c r="AG9" s="6">
        <v>50</v>
      </c>
      <c r="AH9" s="49" t="s">
        <v>146</v>
      </c>
    </row>
    <row r="10" spans="1:34" x14ac:dyDescent="0.2">
      <c r="A10" s="3" t="s">
        <v>99</v>
      </c>
      <c r="B10" s="3" t="s">
        <v>11</v>
      </c>
      <c r="C10" s="57">
        <v>100</v>
      </c>
      <c r="D10" s="57">
        <v>41</v>
      </c>
      <c r="E10" s="57"/>
      <c r="F10" s="57">
        <v>24</v>
      </c>
      <c r="G10" s="57"/>
      <c r="H10" s="57">
        <v>15</v>
      </c>
      <c r="I10" s="57"/>
      <c r="J10" s="57">
        <v>9</v>
      </c>
      <c r="K10" s="57"/>
      <c r="L10" s="57">
        <v>110.75999999999999</v>
      </c>
      <c r="M10" s="57"/>
      <c r="N10" s="57">
        <v>16</v>
      </c>
      <c r="O10" s="57"/>
      <c r="P10" s="238" t="s">
        <v>156</v>
      </c>
      <c r="Q10" s="238"/>
      <c r="R10" s="238" t="s">
        <v>155</v>
      </c>
      <c r="S10" s="238"/>
      <c r="T10" s="638">
        <v>15</v>
      </c>
      <c r="U10" s="638"/>
      <c r="V10" s="291">
        <v>1.3333333333333333</v>
      </c>
      <c r="W10" s="291"/>
      <c r="X10" s="57">
        <v>7</v>
      </c>
      <c r="Y10" s="57"/>
      <c r="Z10" s="57">
        <v>38</v>
      </c>
      <c r="AA10" s="57"/>
      <c r="AB10" s="57">
        <v>43</v>
      </c>
      <c r="AC10" s="57"/>
      <c r="AD10" s="57">
        <v>58</v>
      </c>
      <c r="AE10" s="57"/>
      <c r="AF10" s="57">
        <v>63</v>
      </c>
      <c r="AG10" s="57"/>
      <c r="AH10" s="49" t="s">
        <v>157</v>
      </c>
    </row>
    <row r="11" spans="1:34" x14ac:dyDescent="0.2">
      <c r="A11" s="3" t="s">
        <v>108</v>
      </c>
      <c r="B11" s="3" t="s">
        <v>11</v>
      </c>
      <c r="C11" s="6">
        <v>100</v>
      </c>
      <c r="D11" s="6">
        <v>6</v>
      </c>
      <c r="E11" s="6"/>
      <c r="F11" s="6">
        <v>17</v>
      </c>
      <c r="G11" s="6">
        <v>16</v>
      </c>
      <c r="H11" s="6">
        <v>12</v>
      </c>
      <c r="I11" s="6">
        <v>12</v>
      </c>
      <c r="J11" s="6">
        <v>5</v>
      </c>
      <c r="K11" s="6">
        <v>4</v>
      </c>
      <c r="L11" s="6">
        <v>104.56</v>
      </c>
      <c r="M11" s="6">
        <v>108.28</v>
      </c>
      <c r="N11" s="6">
        <v>16</v>
      </c>
      <c r="O11" s="6">
        <v>16</v>
      </c>
      <c r="P11" s="10" t="s">
        <v>175</v>
      </c>
      <c r="Q11" s="10" t="s">
        <v>661</v>
      </c>
      <c r="R11" s="10" t="s">
        <v>176</v>
      </c>
      <c r="S11" s="10" t="s">
        <v>662</v>
      </c>
      <c r="T11" s="637">
        <v>73</v>
      </c>
      <c r="U11" s="637">
        <v>104</v>
      </c>
      <c r="V11" s="290">
        <v>2.8250000000000002</v>
      </c>
      <c r="W11" s="290">
        <v>2.2093023255813953</v>
      </c>
      <c r="X11" s="6">
        <v>8</v>
      </c>
      <c r="Y11" s="6">
        <v>7</v>
      </c>
      <c r="Z11" s="6">
        <v>22</v>
      </c>
      <c r="AA11" s="6">
        <v>17</v>
      </c>
      <c r="AB11" s="6">
        <v>26</v>
      </c>
      <c r="AC11" s="6">
        <v>25</v>
      </c>
      <c r="AD11" s="6">
        <v>38</v>
      </c>
      <c r="AE11" s="6">
        <v>34</v>
      </c>
      <c r="AF11" s="6">
        <v>55</v>
      </c>
      <c r="AG11" s="6">
        <v>53</v>
      </c>
    </row>
    <row r="12" spans="1:34" x14ac:dyDescent="0.2">
      <c r="A12" s="3" t="s">
        <v>109</v>
      </c>
      <c r="B12" s="3" t="s">
        <v>11</v>
      </c>
      <c r="C12" s="5">
        <v>100</v>
      </c>
      <c r="D12" s="5">
        <v>3</v>
      </c>
      <c r="F12" s="5">
        <v>16</v>
      </c>
      <c r="H12" s="5">
        <v>10</v>
      </c>
      <c r="J12" s="5">
        <v>6</v>
      </c>
      <c r="L12" s="5">
        <v>99.6</v>
      </c>
      <c r="N12" s="5">
        <v>11</v>
      </c>
      <c r="P12" s="9" t="s">
        <v>187</v>
      </c>
      <c r="R12" s="9" t="s">
        <v>188</v>
      </c>
      <c r="T12" s="639">
        <v>61</v>
      </c>
      <c r="U12" s="639"/>
      <c r="V12" s="292">
        <v>1.7011494252873562</v>
      </c>
      <c r="X12" s="5">
        <v>6</v>
      </c>
      <c r="Z12" s="5">
        <v>21</v>
      </c>
      <c r="AB12" s="5">
        <v>32</v>
      </c>
      <c r="AD12" s="5">
        <v>40</v>
      </c>
      <c r="AF12" s="5">
        <v>49</v>
      </c>
    </row>
    <row r="13" spans="1:34" x14ac:dyDescent="0.2">
      <c r="A13" s="3" t="s">
        <v>110</v>
      </c>
      <c r="B13" s="3" t="s">
        <v>11</v>
      </c>
      <c r="C13" s="6">
        <v>100</v>
      </c>
      <c r="D13" s="6">
        <v>16</v>
      </c>
      <c r="E13" s="6">
        <v>17</v>
      </c>
      <c r="F13" s="6">
        <v>14</v>
      </c>
      <c r="G13" s="6">
        <v>11</v>
      </c>
      <c r="H13" s="6">
        <v>8</v>
      </c>
      <c r="I13" s="6">
        <v>7</v>
      </c>
      <c r="J13" s="6">
        <v>6</v>
      </c>
      <c r="K13" s="6">
        <v>4</v>
      </c>
      <c r="L13" s="145">
        <v>98.359999999999985</v>
      </c>
      <c r="M13" s="145">
        <v>104.56</v>
      </c>
      <c r="N13" s="53">
        <v>15</v>
      </c>
      <c r="O13" s="53">
        <v>15</v>
      </c>
      <c r="P13" s="10" t="s">
        <v>185</v>
      </c>
      <c r="Q13" s="10" t="s">
        <v>665</v>
      </c>
      <c r="R13" s="10" t="s">
        <v>186</v>
      </c>
      <c r="S13" s="10" t="s">
        <v>666</v>
      </c>
      <c r="T13" s="637">
        <v>200</v>
      </c>
      <c r="U13" s="637">
        <v>192</v>
      </c>
      <c r="V13" s="290">
        <v>3.1276595744680851</v>
      </c>
      <c r="W13" s="290">
        <v>3.1333333333333333</v>
      </c>
      <c r="X13" s="6">
        <v>6</v>
      </c>
      <c r="Y13" s="6">
        <v>4</v>
      </c>
      <c r="Z13" s="6">
        <v>23</v>
      </c>
      <c r="AA13" s="6">
        <v>21</v>
      </c>
      <c r="AB13" s="6">
        <v>20</v>
      </c>
      <c r="AC13" s="6">
        <v>18</v>
      </c>
      <c r="AD13" s="6">
        <v>38</v>
      </c>
      <c r="AE13" s="6">
        <v>34</v>
      </c>
      <c r="AF13" s="6">
        <v>53</v>
      </c>
      <c r="AG13" s="6">
        <v>50</v>
      </c>
      <c r="AH13" s="49" t="s">
        <v>191</v>
      </c>
    </row>
    <row r="14" spans="1:34" x14ac:dyDescent="0.2">
      <c r="A14" s="3" t="s">
        <v>111</v>
      </c>
      <c r="B14" s="3" t="s">
        <v>11</v>
      </c>
      <c r="C14" s="5">
        <v>100</v>
      </c>
      <c r="D14" s="5">
        <v>13</v>
      </c>
      <c r="E14" s="5">
        <v>9</v>
      </c>
      <c r="F14" s="5">
        <v>20</v>
      </c>
      <c r="G14" s="5">
        <v>19</v>
      </c>
      <c r="H14" s="5">
        <v>13</v>
      </c>
      <c r="I14" s="5">
        <v>12</v>
      </c>
      <c r="J14" s="5">
        <v>7</v>
      </c>
      <c r="K14" s="5">
        <v>7</v>
      </c>
      <c r="L14" s="5">
        <v>112</v>
      </c>
      <c r="M14" s="5">
        <v>114.47999999999999</v>
      </c>
      <c r="N14" s="5">
        <v>13</v>
      </c>
      <c r="O14" s="5">
        <v>13</v>
      </c>
      <c r="P14" s="9" t="s">
        <v>222</v>
      </c>
      <c r="Q14" s="9" t="s">
        <v>675</v>
      </c>
      <c r="R14" s="9" t="s">
        <v>223</v>
      </c>
      <c r="S14" s="9" t="s">
        <v>676</v>
      </c>
      <c r="T14" s="639">
        <v>25</v>
      </c>
      <c r="U14" s="639">
        <v>62</v>
      </c>
      <c r="V14" s="292">
        <v>1.4464285714285714</v>
      </c>
      <c r="W14" s="292">
        <v>2.2400000000000002</v>
      </c>
      <c r="X14" s="5">
        <v>6</v>
      </c>
      <c r="Y14" s="5">
        <v>6</v>
      </c>
      <c r="Z14" s="5">
        <v>28</v>
      </c>
      <c r="AA14" s="5">
        <v>24</v>
      </c>
      <c r="AB14" s="5">
        <v>29</v>
      </c>
      <c r="AC14" s="5">
        <v>30</v>
      </c>
      <c r="AD14" s="5">
        <v>48</v>
      </c>
      <c r="AE14" s="5">
        <v>54</v>
      </c>
      <c r="AF14" s="5">
        <v>61</v>
      </c>
      <c r="AG14" s="5">
        <v>67</v>
      </c>
    </row>
    <row r="15" spans="1:34" x14ac:dyDescent="0.2">
      <c r="A15" s="3" t="s">
        <v>112</v>
      </c>
      <c r="B15" s="3" t="s">
        <v>11</v>
      </c>
      <c r="C15" s="6">
        <v>77.8</v>
      </c>
      <c r="D15" s="6">
        <v>1</v>
      </c>
      <c r="E15" s="6">
        <v>4</v>
      </c>
      <c r="F15" s="6">
        <v>23</v>
      </c>
      <c r="G15" s="6">
        <v>16</v>
      </c>
      <c r="H15" s="6">
        <v>12</v>
      </c>
      <c r="I15" s="6">
        <v>9</v>
      </c>
      <c r="J15" s="6">
        <v>11</v>
      </c>
      <c r="K15" s="6">
        <v>7</v>
      </c>
      <c r="L15" s="6">
        <v>112</v>
      </c>
      <c r="M15" s="6">
        <v>112</v>
      </c>
      <c r="N15" s="6">
        <v>12</v>
      </c>
      <c r="O15" s="6">
        <v>12</v>
      </c>
      <c r="P15" s="10" t="s">
        <v>259</v>
      </c>
      <c r="Q15" s="10" t="s">
        <v>695</v>
      </c>
      <c r="R15" s="10" t="s">
        <v>12</v>
      </c>
      <c r="S15" s="10" t="s">
        <v>696</v>
      </c>
      <c r="T15" s="637">
        <v>49</v>
      </c>
      <c r="U15" s="637">
        <v>102</v>
      </c>
      <c r="V15" s="290">
        <v>1.494949494949495</v>
      </c>
      <c r="W15" s="290">
        <v>1.9807692307692308</v>
      </c>
      <c r="X15" s="6">
        <v>6</v>
      </c>
      <c r="Y15" s="6">
        <v>6</v>
      </c>
      <c r="Z15" s="6">
        <v>28</v>
      </c>
      <c r="AA15" s="6">
        <v>25</v>
      </c>
      <c r="AB15" s="6">
        <v>29</v>
      </c>
      <c r="AC15" s="6">
        <v>23</v>
      </c>
      <c r="AD15" s="6">
        <v>37</v>
      </c>
      <c r="AE15" s="6">
        <v>33</v>
      </c>
      <c r="AF15" s="6">
        <v>45</v>
      </c>
      <c r="AG15" s="6">
        <v>45</v>
      </c>
    </row>
    <row r="16" spans="1:34" x14ac:dyDescent="0.2">
      <c r="A16" s="3" t="s">
        <v>113</v>
      </c>
      <c r="B16" s="3" t="s">
        <v>11</v>
      </c>
      <c r="C16" s="5">
        <v>100</v>
      </c>
      <c r="D16" s="5">
        <v>0</v>
      </c>
      <c r="E16" s="5">
        <v>0</v>
      </c>
      <c r="F16" s="5">
        <v>17</v>
      </c>
      <c r="G16" s="5">
        <v>21</v>
      </c>
      <c r="H16" s="5">
        <v>10</v>
      </c>
      <c r="I16" s="5">
        <v>12</v>
      </c>
      <c r="J16" s="5">
        <v>7</v>
      </c>
      <c r="K16" s="5">
        <v>9</v>
      </c>
      <c r="L16" s="5">
        <v>105.8</v>
      </c>
      <c r="M16" s="5">
        <v>112</v>
      </c>
      <c r="N16" s="5">
        <v>12</v>
      </c>
      <c r="O16" s="5">
        <v>12</v>
      </c>
      <c r="P16" s="9" t="s">
        <v>264</v>
      </c>
      <c r="Q16" s="9" t="s">
        <v>687</v>
      </c>
      <c r="R16" s="9" t="s">
        <v>265</v>
      </c>
      <c r="S16" s="9" t="s">
        <v>688</v>
      </c>
      <c r="T16" s="639">
        <v>22</v>
      </c>
      <c r="U16" s="639">
        <v>134</v>
      </c>
      <c r="V16" s="292">
        <v>1.2933333333333332</v>
      </c>
      <c r="W16" s="292">
        <v>2.8356164383561642</v>
      </c>
      <c r="X16" s="5">
        <v>6</v>
      </c>
      <c r="Y16" s="5">
        <v>6</v>
      </c>
      <c r="Z16" s="5">
        <v>38</v>
      </c>
      <c r="AA16" s="5">
        <v>33</v>
      </c>
      <c r="AB16" s="5">
        <v>33</v>
      </c>
      <c r="AC16" s="5">
        <v>34</v>
      </c>
      <c r="AD16" s="5">
        <v>46</v>
      </c>
      <c r="AE16" s="5">
        <v>45</v>
      </c>
      <c r="AF16" s="5">
        <v>52</v>
      </c>
      <c r="AG16" s="5">
        <v>51</v>
      </c>
    </row>
    <row r="17" spans="1:34" x14ac:dyDescent="0.2">
      <c r="A17" s="3" t="s">
        <v>114</v>
      </c>
      <c r="B17" s="3" t="s">
        <v>11</v>
      </c>
      <c r="C17" s="6">
        <v>100</v>
      </c>
      <c r="D17" s="6">
        <v>0</v>
      </c>
      <c r="E17" s="6">
        <v>2</v>
      </c>
      <c r="F17" s="6">
        <v>14</v>
      </c>
      <c r="G17" s="6">
        <v>14</v>
      </c>
      <c r="H17" s="6">
        <v>10</v>
      </c>
      <c r="I17" s="6">
        <v>9</v>
      </c>
      <c r="J17" s="6">
        <v>4</v>
      </c>
      <c r="K17" s="6">
        <v>5</v>
      </c>
      <c r="L17" s="6">
        <v>81</v>
      </c>
      <c r="M17" s="6">
        <v>82.24</v>
      </c>
      <c r="N17" s="6">
        <v>12</v>
      </c>
      <c r="O17" s="6">
        <v>14</v>
      </c>
      <c r="P17" s="10" t="s">
        <v>268</v>
      </c>
      <c r="Q17" s="10" t="s">
        <v>693</v>
      </c>
      <c r="R17" s="10" t="s">
        <v>269</v>
      </c>
      <c r="S17" s="10" t="s">
        <v>694</v>
      </c>
      <c r="T17" s="637">
        <v>61</v>
      </c>
      <c r="U17" s="637">
        <v>77</v>
      </c>
      <c r="V17" s="290">
        <v>2.1730769230769229</v>
      </c>
      <c r="W17" s="290">
        <v>2.7906976744186047</v>
      </c>
      <c r="X17" s="6">
        <v>4</v>
      </c>
      <c r="Y17" s="6">
        <v>8</v>
      </c>
      <c r="Z17" s="6">
        <v>26</v>
      </c>
      <c r="AA17" s="6">
        <v>22</v>
      </c>
      <c r="AB17" s="6">
        <v>31</v>
      </c>
      <c r="AC17" s="6">
        <v>27</v>
      </c>
      <c r="AD17" s="6">
        <v>43</v>
      </c>
      <c r="AE17" s="6">
        <v>49</v>
      </c>
      <c r="AF17" s="6">
        <v>55</v>
      </c>
      <c r="AG17" s="6">
        <v>64</v>
      </c>
    </row>
    <row r="18" spans="1:34" x14ac:dyDescent="0.2">
      <c r="A18" s="3" t="s">
        <v>115</v>
      </c>
      <c r="B18" s="3" t="s">
        <v>11</v>
      </c>
      <c r="C18" s="5">
        <v>64</v>
      </c>
      <c r="D18" s="5">
        <v>6</v>
      </c>
      <c r="E18" s="5">
        <v>12</v>
      </c>
      <c r="F18" s="5">
        <v>18</v>
      </c>
      <c r="G18" s="5">
        <v>18</v>
      </c>
      <c r="H18" s="5">
        <v>13</v>
      </c>
      <c r="I18" s="5">
        <v>11</v>
      </c>
      <c r="J18" s="5">
        <v>5</v>
      </c>
      <c r="K18" s="5">
        <v>7</v>
      </c>
      <c r="L18" s="5">
        <v>94.639999999999986</v>
      </c>
      <c r="M18" s="5">
        <v>102.08</v>
      </c>
      <c r="N18" s="5">
        <v>16</v>
      </c>
      <c r="O18" s="5">
        <v>16</v>
      </c>
      <c r="P18" s="9" t="s">
        <v>270</v>
      </c>
      <c r="Q18" s="9" t="s">
        <v>742</v>
      </c>
      <c r="R18" s="9" t="s">
        <v>271</v>
      </c>
      <c r="S18" s="9" t="s">
        <v>743</v>
      </c>
      <c r="T18" s="639">
        <v>25</v>
      </c>
      <c r="U18" s="639">
        <v>55</v>
      </c>
      <c r="V18" s="292">
        <v>1.3676470588235294</v>
      </c>
      <c r="W18" s="292">
        <v>1.873015873015873</v>
      </c>
      <c r="X18" s="5">
        <v>5</v>
      </c>
      <c r="Y18" s="5">
        <v>8</v>
      </c>
      <c r="Z18" s="5">
        <v>36</v>
      </c>
      <c r="AA18" s="5">
        <v>39</v>
      </c>
      <c r="AB18" s="5">
        <v>49</v>
      </c>
      <c r="AC18" s="5">
        <v>38</v>
      </c>
      <c r="AD18" s="5">
        <v>51</v>
      </c>
      <c r="AE18" s="5">
        <v>56</v>
      </c>
      <c r="AF18" s="5">
        <v>56</v>
      </c>
      <c r="AG18" s="5">
        <v>63</v>
      </c>
    </row>
    <row r="19" spans="1:34" x14ac:dyDescent="0.2">
      <c r="A19" s="3" t="s">
        <v>116</v>
      </c>
      <c r="B19" s="3" t="s">
        <v>273</v>
      </c>
      <c r="C19" s="6">
        <v>80</v>
      </c>
      <c r="D19" s="6">
        <v>8</v>
      </c>
      <c r="E19" s="6">
        <v>3</v>
      </c>
      <c r="F19" s="6">
        <v>14</v>
      </c>
      <c r="G19" s="6">
        <v>11</v>
      </c>
      <c r="H19" s="6">
        <v>7</v>
      </c>
      <c r="I19" s="6">
        <v>7</v>
      </c>
      <c r="J19" s="6">
        <v>7</v>
      </c>
      <c r="K19" s="6">
        <v>4</v>
      </c>
      <c r="L19" s="6">
        <v>79.759999999999991</v>
      </c>
      <c r="M19" s="6">
        <v>92.16</v>
      </c>
      <c r="N19" s="6">
        <v>11</v>
      </c>
      <c r="O19" s="6">
        <v>11</v>
      </c>
      <c r="P19" s="10" t="s">
        <v>274</v>
      </c>
      <c r="Q19" s="10" t="s">
        <v>630</v>
      </c>
      <c r="R19" s="10" t="s">
        <v>275</v>
      </c>
      <c r="S19" s="10" t="s">
        <v>631</v>
      </c>
      <c r="T19" s="637">
        <v>45</v>
      </c>
      <c r="U19" s="637">
        <v>23</v>
      </c>
      <c r="V19" s="290">
        <v>1.6716417910447761</v>
      </c>
      <c r="W19" s="290">
        <v>1.2804878048780488</v>
      </c>
      <c r="X19" s="6">
        <v>6</v>
      </c>
      <c r="Y19" s="6">
        <v>6</v>
      </c>
      <c r="Z19" s="6">
        <v>30</v>
      </c>
      <c r="AA19" s="6">
        <v>28</v>
      </c>
      <c r="AB19" s="6">
        <v>31</v>
      </c>
      <c r="AC19" s="6">
        <v>30</v>
      </c>
      <c r="AD19" s="6">
        <v>34</v>
      </c>
      <c r="AE19" s="6">
        <v>38</v>
      </c>
      <c r="AF19" s="6">
        <v>43</v>
      </c>
      <c r="AG19" s="6">
        <v>48</v>
      </c>
    </row>
    <row r="20" spans="1:34" x14ac:dyDescent="0.2">
      <c r="A20" s="3" t="s">
        <v>117</v>
      </c>
      <c r="B20" s="3" t="s">
        <v>11</v>
      </c>
      <c r="C20" s="5">
        <v>80</v>
      </c>
      <c r="D20" s="5">
        <v>3</v>
      </c>
      <c r="E20" s="5">
        <v>2</v>
      </c>
      <c r="F20" s="5">
        <v>21</v>
      </c>
      <c r="G20" s="5">
        <v>19</v>
      </c>
      <c r="H20" s="5">
        <v>12</v>
      </c>
      <c r="I20" s="5">
        <v>11</v>
      </c>
      <c r="J20" s="5">
        <v>9</v>
      </c>
      <c r="K20" s="5">
        <v>8</v>
      </c>
      <c r="L20" s="5">
        <v>114.47999999999999</v>
      </c>
      <c r="M20" s="5">
        <v>118.19999999999999</v>
      </c>
      <c r="N20" s="5">
        <v>12</v>
      </c>
      <c r="O20" s="5">
        <v>12</v>
      </c>
      <c r="P20" s="9" t="s">
        <v>282</v>
      </c>
      <c r="Q20" s="9" t="s">
        <v>680</v>
      </c>
      <c r="R20" s="9" t="s">
        <v>283</v>
      </c>
      <c r="S20" s="9" t="s">
        <v>681</v>
      </c>
      <c r="T20" s="639">
        <v>34</v>
      </c>
      <c r="U20" s="639">
        <v>37</v>
      </c>
      <c r="V20" s="292">
        <v>1.8292682926829269</v>
      </c>
      <c r="W20" s="292">
        <v>1.7708333333333333</v>
      </c>
      <c r="X20" s="5">
        <v>7</v>
      </c>
      <c r="Y20" s="5">
        <v>6</v>
      </c>
      <c r="Z20" s="5">
        <v>31</v>
      </c>
      <c r="AA20" s="5">
        <v>37</v>
      </c>
      <c r="AB20" s="5">
        <v>41</v>
      </c>
      <c r="AC20" s="5">
        <v>43</v>
      </c>
      <c r="AD20" s="5">
        <v>52</v>
      </c>
      <c r="AE20" s="5">
        <v>58</v>
      </c>
      <c r="AF20" s="5">
        <v>56</v>
      </c>
      <c r="AG20" s="5">
        <v>59</v>
      </c>
    </row>
    <row r="21" spans="1:34" x14ac:dyDescent="0.2">
      <c r="A21" s="3" t="s">
        <v>171</v>
      </c>
      <c r="B21" s="3" t="s">
        <v>11</v>
      </c>
      <c r="C21" s="53">
        <v>67</v>
      </c>
      <c r="D21" s="145">
        <v>34</v>
      </c>
      <c r="E21" s="145"/>
      <c r="F21" s="53">
        <v>18</v>
      </c>
      <c r="G21" s="53"/>
      <c r="H21" s="53">
        <v>11</v>
      </c>
      <c r="I21" s="53"/>
      <c r="J21" s="53">
        <v>7</v>
      </c>
      <c r="K21" s="53"/>
      <c r="L21" s="53">
        <v>103.32</v>
      </c>
      <c r="M21" s="53"/>
      <c r="N21" s="53">
        <v>12</v>
      </c>
      <c r="O21" s="53"/>
      <c r="P21" s="54" t="s">
        <v>290</v>
      </c>
      <c r="Q21" s="54"/>
      <c r="R21" s="54" t="s">
        <v>291</v>
      </c>
      <c r="S21" s="54"/>
      <c r="T21" s="636">
        <v>16</v>
      </c>
      <c r="U21" s="636"/>
      <c r="V21" s="289">
        <v>1.4848484848484849</v>
      </c>
      <c r="W21" s="289"/>
      <c r="X21" s="53">
        <v>7</v>
      </c>
      <c r="Y21" s="53"/>
      <c r="Z21" s="53">
        <v>33</v>
      </c>
      <c r="AA21" s="53"/>
      <c r="AB21" s="53">
        <v>38</v>
      </c>
      <c r="AC21" s="53"/>
      <c r="AD21" s="53">
        <v>40</v>
      </c>
      <c r="AE21" s="53"/>
      <c r="AF21" s="53">
        <v>46</v>
      </c>
      <c r="AG21" s="53"/>
    </row>
    <row r="22" spans="1:34" x14ac:dyDescent="0.2">
      <c r="A22" s="3" t="s">
        <v>172</v>
      </c>
      <c r="B22" s="3" t="s">
        <v>11</v>
      </c>
      <c r="C22" s="5">
        <v>82</v>
      </c>
      <c r="D22" s="5">
        <v>6</v>
      </c>
      <c r="E22" s="5">
        <v>13</v>
      </c>
      <c r="F22" s="5">
        <v>23</v>
      </c>
      <c r="G22" s="5">
        <v>25</v>
      </c>
      <c r="H22" s="5">
        <v>16</v>
      </c>
      <c r="I22" s="5">
        <v>15</v>
      </c>
      <c r="J22" s="5">
        <v>7</v>
      </c>
      <c r="K22" s="5">
        <v>10</v>
      </c>
      <c r="L22" s="5">
        <v>110.75999999999999</v>
      </c>
      <c r="M22" s="5">
        <v>114.47999999999999</v>
      </c>
      <c r="N22" s="5">
        <v>13</v>
      </c>
      <c r="O22" s="5">
        <v>13</v>
      </c>
      <c r="P22" s="9" t="s">
        <v>292</v>
      </c>
      <c r="Q22" s="9" t="s">
        <v>725</v>
      </c>
      <c r="R22" s="9" t="s">
        <v>293</v>
      </c>
      <c r="S22" s="9" t="s">
        <v>726</v>
      </c>
      <c r="T22" s="639">
        <v>20</v>
      </c>
      <c r="U22" s="639">
        <v>60</v>
      </c>
      <c r="V22" s="292">
        <v>1.392156862745098</v>
      </c>
      <c r="W22" s="292">
        <v>2.7647058823529411</v>
      </c>
      <c r="X22" s="5">
        <v>6</v>
      </c>
      <c r="Y22" s="5">
        <v>6</v>
      </c>
      <c r="Z22" s="5">
        <v>46</v>
      </c>
      <c r="AA22" s="5">
        <v>42</v>
      </c>
      <c r="AB22" s="5">
        <v>48</v>
      </c>
      <c r="AC22" s="5">
        <v>49</v>
      </c>
      <c r="AD22" s="5">
        <v>50</v>
      </c>
      <c r="AE22" s="5">
        <v>57</v>
      </c>
      <c r="AF22" s="5">
        <v>51</v>
      </c>
      <c r="AG22" s="5">
        <v>58</v>
      </c>
    </row>
    <row r="23" spans="1:34" x14ac:dyDescent="0.2">
      <c r="A23" s="3" t="s">
        <v>173</v>
      </c>
      <c r="B23" s="3" t="s">
        <v>11</v>
      </c>
      <c r="C23" s="145">
        <v>9</v>
      </c>
      <c r="D23" s="145">
        <v>14</v>
      </c>
      <c r="E23" s="145">
        <v>14</v>
      </c>
      <c r="F23" s="145">
        <v>23</v>
      </c>
      <c r="G23" s="145">
        <v>19</v>
      </c>
      <c r="H23" s="145">
        <v>13</v>
      </c>
      <c r="I23" s="145">
        <v>10</v>
      </c>
      <c r="J23" s="145">
        <v>10</v>
      </c>
      <c r="K23" s="145">
        <v>9</v>
      </c>
      <c r="L23" s="145">
        <v>115.72</v>
      </c>
      <c r="M23" s="145">
        <v>119.44</v>
      </c>
      <c r="N23" s="145">
        <v>16</v>
      </c>
      <c r="O23" s="145">
        <v>17</v>
      </c>
      <c r="P23" s="257" t="s">
        <v>300</v>
      </c>
      <c r="Q23" s="257" t="s">
        <v>727</v>
      </c>
      <c r="R23" s="257" t="s">
        <v>301</v>
      </c>
      <c r="S23" s="257" t="s">
        <v>728</v>
      </c>
      <c r="T23" s="640">
        <v>30</v>
      </c>
      <c r="U23" s="640">
        <v>5</v>
      </c>
      <c r="V23" s="293">
        <v>2.2000000000000002</v>
      </c>
      <c r="W23" s="293">
        <v>1.1388888888888888</v>
      </c>
      <c r="X23" s="145">
        <v>6</v>
      </c>
      <c r="Y23" s="145">
        <v>5</v>
      </c>
      <c r="Z23" s="145">
        <v>45</v>
      </c>
      <c r="AA23" s="145">
        <v>44</v>
      </c>
      <c r="AB23" s="145">
        <v>44</v>
      </c>
      <c r="AC23" s="145">
        <v>43</v>
      </c>
      <c r="AD23" s="145">
        <v>54</v>
      </c>
      <c r="AE23" s="145">
        <v>56</v>
      </c>
      <c r="AF23" s="145">
        <v>54</v>
      </c>
      <c r="AG23" s="145">
        <v>58</v>
      </c>
      <c r="AH23" t="s">
        <v>302</v>
      </c>
    </row>
    <row r="24" spans="1:34" x14ac:dyDescent="0.2">
      <c r="A24" s="3" t="s">
        <v>199</v>
      </c>
      <c r="B24" s="3" t="s">
        <v>11</v>
      </c>
      <c r="C24" s="5">
        <v>80</v>
      </c>
      <c r="D24" s="5">
        <v>5</v>
      </c>
      <c r="E24" s="5">
        <v>16</v>
      </c>
      <c r="F24" s="5">
        <v>15</v>
      </c>
      <c r="G24" s="5">
        <v>15</v>
      </c>
      <c r="H24" s="5">
        <v>10</v>
      </c>
      <c r="I24" s="5">
        <v>10</v>
      </c>
      <c r="J24" s="5">
        <v>5</v>
      </c>
      <c r="K24" s="5">
        <v>5</v>
      </c>
      <c r="L24" s="5">
        <v>114.47999999999999</v>
      </c>
      <c r="M24" s="5">
        <v>116.96</v>
      </c>
      <c r="N24" s="5">
        <v>15</v>
      </c>
      <c r="O24" s="5">
        <v>16</v>
      </c>
      <c r="P24" s="9" t="s">
        <v>303</v>
      </c>
      <c r="Q24" s="9" t="s">
        <v>697</v>
      </c>
      <c r="R24" s="9" t="s">
        <v>304</v>
      </c>
      <c r="S24" s="9" t="s">
        <v>698</v>
      </c>
      <c r="T24" s="639">
        <v>54</v>
      </c>
      <c r="U24" s="639">
        <v>77</v>
      </c>
      <c r="V24" s="292">
        <v>1.6835443037974684</v>
      </c>
      <c r="W24" s="292">
        <v>2.3050847457627119</v>
      </c>
      <c r="X24" s="5">
        <v>6</v>
      </c>
      <c r="Y24" s="5">
        <v>8</v>
      </c>
      <c r="Z24" s="5">
        <v>30</v>
      </c>
      <c r="AA24" s="5">
        <v>28</v>
      </c>
      <c r="AB24" s="5">
        <v>29</v>
      </c>
      <c r="AC24" s="5">
        <v>30</v>
      </c>
      <c r="AD24" s="5">
        <v>37</v>
      </c>
      <c r="AE24" s="5">
        <v>39</v>
      </c>
      <c r="AF24" s="5">
        <v>52</v>
      </c>
      <c r="AG24" s="5">
        <v>54</v>
      </c>
    </row>
    <row r="25" spans="1:34" x14ac:dyDescent="0.2">
      <c r="A25" s="3" t="s">
        <v>200</v>
      </c>
      <c r="B25" s="3" t="s">
        <v>11</v>
      </c>
      <c r="C25" s="6">
        <v>100</v>
      </c>
      <c r="D25" s="6">
        <v>2</v>
      </c>
      <c r="E25" s="6">
        <v>6</v>
      </c>
      <c r="F25" s="6">
        <v>23</v>
      </c>
      <c r="G25" s="6">
        <v>22</v>
      </c>
      <c r="H25" s="6">
        <v>11</v>
      </c>
      <c r="I25" s="6">
        <v>14</v>
      </c>
      <c r="J25" s="6">
        <v>12</v>
      </c>
      <c r="K25" s="6">
        <v>8</v>
      </c>
      <c r="L25" s="6">
        <v>109.52</v>
      </c>
      <c r="M25" s="6">
        <v>110.75999999999999</v>
      </c>
      <c r="N25" s="6">
        <v>16</v>
      </c>
      <c r="O25" s="6">
        <v>18</v>
      </c>
      <c r="P25" s="10" t="s">
        <v>307</v>
      </c>
      <c r="Q25" s="10" t="s">
        <v>699</v>
      </c>
      <c r="R25" s="10" t="s">
        <v>308</v>
      </c>
      <c r="S25" s="10" t="s">
        <v>700</v>
      </c>
      <c r="T25" s="637">
        <v>30</v>
      </c>
      <c r="U25" s="637">
        <v>36</v>
      </c>
      <c r="V25" s="290">
        <v>1.5172413793103448</v>
      </c>
      <c r="W25" s="290">
        <v>1.5625</v>
      </c>
      <c r="X25" s="6">
        <v>6</v>
      </c>
      <c r="Y25" s="6">
        <v>6</v>
      </c>
      <c r="Z25" s="6">
        <v>26</v>
      </c>
      <c r="AA25" s="6">
        <v>24</v>
      </c>
      <c r="AB25" s="6">
        <v>38</v>
      </c>
      <c r="AC25" s="6">
        <v>34</v>
      </c>
      <c r="AD25" s="6">
        <v>52</v>
      </c>
      <c r="AE25" s="6">
        <v>51</v>
      </c>
      <c r="AF25" s="6">
        <v>64</v>
      </c>
      <c r="AG25" s="6">
        <v>66</v>
      </c>
    </row>
    <row r="26" spans="1:34" x14ac:dyDescent="0.2">
      <c r="A26" s="3" t="s">
        <v>201</v>
      </c>
      <c r="B26" s="3" t="s">
        <v>11</v>
      </c>
      <c r="C26" s="5">
        <v>100</v>
      </c>
      <c r="D26" s="5">
        <v>9</v>
      </c>
      <c r="E26" s="5">
        <v>8</v>
      </c>
      <c r="F26" s="5">
        <v>17</v>
      </c>
      <c r="G26" s="5">
        <v>19</v>
      </c>
      <c r="H26" s="5">
        <v>13</v>
      </c>
      <c r="I26" s="5">
        <v>11</v>
      </c>
      <c r="J26" s="5">
        <v>4</v>
      </c>
      <c r="K26" s="5">
        <v>8</v>
      </c>
      <c r="L26" s="5">
        <v>100.84</v>
      </c>
      <c r="M26" s="5">
        <v>103.32</v>
      </c>
      <c r="N26" s="5">
        <v>14</v>
      </c>
      <c r="O26" s="5">
        <v>16</v>
      </c>
      <c r="P26" s="9" t="s">
        <v>365</v>
      </c>
      <c r="Q26" s="9" t="s">
        <v>773</v>
      </c>
      <c r="R26" s="9" t="s">
        <v>366</v>
      </c>
      <c r="S26" s="9" t="s">
        <v>774</v>
      </c>
      <c r="T26" s="639">
        <v>45</v>
      </c>
      <c r="U26" s="639">
        <v>23</v>
      </c>
      <c r="V26" s="292">
        <v>2.6666666666666665</v>
      </c>
      <c r="W26" s="292">
        <v>1.85</v>
      </c>
      <c r="X26" s="5">
        <v>6</v>
      </c>
      <c r="Y26" s="5">
        <v>10</v>
      </c>
      <c r="Z26" s="5">
        <v>54</v>
      </c>
      <c r="AA26" s="5">
        <v>46</v>
      </c>
      <c r="AB26" s="5">
        <v>66</v>
      </c>
      <c r="AC26" s="5">
        <v>56</v>
      </c>
      <c r="AD26" s="5">
        <v>71</v>
      </c>
      <c r="AE26" s="5">
        <v>65</v>
      </c>
      <c r="AF26" s="5">
        <v>61</v>
      </c>
      <c r="AG26" s="5">
        <v>65</v>
      </c>
    </row>
    <row r="27" spans="1:34" x14ac:dyDescent="0.2">
      <c r="A27" s="3" t="s">
        <v>202</v>
      </c>
      <c r="B27" s="3" t="s">
        <v>273</v>
      </c>
      <c r="C27" s="145">
        <v>100</v>
      </c>
      <c r="D27" s="145" t="s">
        <v>510</v>
      </c>
      <c r="E27" s="145">
        <v>10</v>
      </c>
      <c r="F27" s="145">
        <v>19</v>
      </c>
      <c r="G27" s="145">
        <v>17</v>
      </c>
      <c r="H27" s="145">
        <v>11</v>
      </c>
      <c r="I27" s="145">
        <v>11</v>
      </c>
      <c r="J27" s="145">
        <v>8</v>
      </c>
      <c r="K27" s="145">
        <v>6</v>
      </c>
      <c r="L27" s="145">
        <v>104.56</v>
      </c>
      <c r="M27" s="145">
        <v>102.08</v>
      </c>
      <c r="N27" s="145">
        <v>16</v>
      </c>
      <c r="O27" s="145">
        <v>16</v>
      </c>
      <c r="P27" s="257" t="s">
        <v>371</v>
      </c>
      <c r="Q27" s="257" t="s">
        <v>757</v>
      </c>
      <c r="R27" s="257" t="s">
        <v>372</v>
      </c>
      <c r="S27" s="257" t="s">
        <v>758</v>
      </c>
      <c r="T27" s="640">
        <v>66</v>
      </c>
      <c r="U27" s="640">
        <v>56</v>
      </c>
      <c r="V27" s="293">
        <v>1.6111111111111112</v>
      </c>
      <c r="W27" s="293">
        <v>1.7777777777777777</v>
      </c>
      <c r="X27" s="145">
        <v>7</v>
      </c>
      <c r="Y27" s="145">
        <v>6</v>
      </c>
      <c r="Z27" s="145">
        <v>15</v>
      </c>
      <c r="AA27" s="145">
        <v>15</v>
      </c>
      <c r="AB27" s="145">
        <v>22</v>
      </c>
      <c r="AC27" s="145">
        <v>24</v>
      </c>
      <c r="AD27" s="145">
        <v>42</v>
      </c>
      <c r="AE27" s="145">
        <v>35</v>
      </c>
      <c r="AF27" s="145">
        <v>58</v>
      </c>
      <c r="AG27" s="145">
        <v>49</v>
      </c>
    </row>
    <row r="28" spans="1:34" x14ac:dyDescent="0.2">
      <c r="A28" s="3" t="s">
        <v>203</v>
      </c>
      <c r="B28" s="3" t="s">
        <v>11</v>
      </c>
      <c r="C28" s="5">
        <v>100</v>
      </c>
      <c r="D28" s="5">
        <v>17</v>
      </c>
      <c r="E28" s="5">
        <v>6</v>
      </c>
      <c r="F28" s="5">
        <v>14</v>
      </c>
      <c r="G28" s="5">
        <v>14</v>
      </c>
      <c r="H28" s="5">
        <v>9</v>
      </c>
      <c r="I28" s="5">
        <v>8</v>
      </c>
      <c r="J28" s="5">
        <v>5</v>
      </c>
      <c r="K28" s="5">
        <v>6</v>
      </c>
      <c r="L28" s="5">
        <v>113.24</v>
      </c>
      <c r="M28" s="5">
        <v>114.47999999999999</v>
      </c>
      <c r="N28" s="5">
        <v>13</v>
      </c>
      <c r="O28" s="5">
        <v>13</v>
      </c>
      <c r="P28" s="9" t="s">
        <v>374</v>
      </c>
      <c r="Q28" s="9" t="s">
        <v>747</v>
      </c>
      <c r="R28" s="9" t="s">
        <v>375</v>
      </c>
      <c r="S28" s="9" t="s">
        <v>748</v>
      </c>
      <c r="T28" s="639">
        <v>43</v>
      </c>
      <c r="U28" s="639">
        <v>67</v>
      </c>
      <c r="V28" s="292">
        <v>2.0238095238095237</v>
      </c>
      <c r="W28" s="292">
        <v>2.763157894736842</v>
      </c>
      <c r="X28" s="5">
        <v>6</v>
      </c>
      <c r="Y28" s="5">
        <v>4</v>
      </c>
      <c r="Z28" s="5">
        <v>25</v>
      </c>
      <c r="AA28" s="5">
        <v>25</v>
      </c>
      <c r="AB28" s="5">
        <v>35</v>
      </c>
      <c r="AC28" s="5">
        <v>31</v>
      </c>
      <c r="AD28" s="5">
        <v>44</v>
      </c>
      <c r="AE28" s="5">
        <v>43</v>
      </c>
      <c r="AF28" s="5">
        <v>54</v>
      </c>
      <c r="AG28" s="5">
        <v>55</v>
      </c>
    </row>
    <row r="29" spans="1:34" x14ac:dyDescent="0.2">
      <c r="A29" s="3" t="s">
        <v>204</v>
      </c>
      <c r="B29" s="3" t="s">
        <v>11</v>
      </c>
      <c r="C29" s="145">
        <v>78</v>
      </c>
      <c r="D29" s="145">
        <v>29</v>
      </c>
      <c r="E29" s="145"/>
      <c r="F29" s="145">
        <v>17</v>
      </c>
      <c r="G29" s="145"/>
      <c r="H29" s="145">
        <v>8</v>
      </c>
      <c r="I29" s="145"/>
      <c r="J29" s="145">
        <v>9</v>
      </c>
      <c r="K29" s="145"/>
      <c r="L29" s="145">
        <v>100.84</v>
      </c>
      <c r="M29" s="145"/>
      <c r="N29" s="145">
        <v>15</v>
      </c>
      <c r="O29" s="145"/>
      <c r="P29" s="257" t="s">
        <v>402</v>
      </c>
      <c r="Q29" s="257"/>
      <c r="R29" s="257" t="s">
        <v>403</v>
      </c>
      <c r="S29" s="257"/>
      <c r="T29" s="640">
        <v>29</v>
      </c>
      <c r="U29" s="640"/>
      <c r="V29" s="293">
        <v>1.2843137254901962</v>
      </c>
      <c r="W29" s="293"/>
      <c r="X29" s="145">
        <v>5</v>
      </c>
      <c r="Y29" s="145"/>
      <c r="Z29" s="145">
        <v>18</v>
      </c>
      <c r="AA29" s="145"/>
      <c r="AB29" s="145">
        <v>28</v>
      </c>
      <c r="AC29" s="145"/>
      <c r="AD29" s="145">
        <v>38</v>
      </c>
      <c r="AE29" s="145"/>
      <c r="AF29" s="145">
        <v>54</v>
      </c>
      <c r="AG29" s="145"/>
    </row>
    <row r="30" spans="1:34" x14ac:dyDescent="0.2">
      <c r="A30" s="3" t="s">
        <v>205</v>
      </c>
      <c r="B30" s="3" t="s">
        <v>273</v>
      </c>
      <c r="C30" s="5">
        <v>100</v>
      </c>
      <c r="D30" s="5">
        <v>6</v>
      </c>
      <c r="E30" s="5">
        <v>4</v>
      </c>
      <c r="F30" s="5">
        <v>16</v>
      </c>
      <c r="G30" s="5">
        <v>17</v>
      </c>
      <c r="H30" s="5">
        <v>10</v>
      </c>
      <c r="I30" s="5">
        <v>11</v>
      </c>
      <c r="J30" s="5">
        <v>6</v>
      </c>
      <c r="K30" s="5">
        <v>6</v>
      </c>
      <c r="L30" s="5">
        <v>110.75999999999999</v>
      </c>
      <c r="M30" s="5">
        <v>109.52</v>
      </c>
      <c r="N30" s="5">
        <v>11</v>
      </c>
      <c r="O30" s="5">
        <v>12</v>
      </c>
      <c r="P30" s="9" t="s">
        <v>451</v>
      </c>
      <c r="Q30" s="9" t="s">
        <v>764</v>
      </c>
      <c r="R30" s="9" t="s">
        <v>452</v>
      </c>
      <c r="S30" s="9" t="s">
        <v>765</v>
      </c>
      <c r="T30" s="639">
        <v>35</v>
      </c>
      <c r="U30" s="639">
        <v>60</v>
      </c>
      <c r="V30" s="292">
        <v>1.2611940298507462</v>
      </c>
      <c r="W30" s="292">
        <v>1.5454545454545454</v>
      </c>
      <c r="X30" s="5">
        <v>3</v>
      </c>
      <c r="Y30" s="5">
        <v>5</v>
      </c>
      <c r="Z30" s="5">
        <v>28</v>
      </c>
      <c r="AA30" s="5">
        <v>25</v>
      </c>
      <c r="AB30" s="5">
        <v>24</v>
      </c>
      <c r="AC30" s="5">
        <v>23</v>
      </c>
      <c r="AD30" s="5">
        <v>40</v>
      </c>
      <c r="AE30" s="5">
        <v>39</v>
      </c>
      <c r="AF30" s="5">
        <v>47</v>
      </c>
      <c r="AG30" s="5">
        <v>49</v>
      </c>
    </row>
    <row r="31" spans="1:34" x14ac:dyDescent="0.2">
      <c r="A31" s="3" t="s">
        <v>206</v>
      </c>
      <c r="B31" s="3" t="s">
        <v>273</v>
      </c>
      <c r="C31" s="145">
        <v>-80</v>
      </c>
      <c r="D31" s="145">
        <v>11</v>
      </c>
      <c r="E31" s="145">
        <v>6</v>
      </c>
      <c r="F31" s="145">
        <v>14</v>
      </c>
      <c r="G31" s="145">
        <v>12</v>
      </c>
      <c r="H31" s="145">
        <v>8</v>
      </c>
      <c r="I31" s="145">
        <v>9</v>
      </c>
      <c r="J31" s="145">
        <v>6</v>
      </c>
      <c r="K31" s="145">
        <v>3</v>
      </c>
      <c r="L31" s="145">
        <v>97.12</v>
      </c>
      <c r="M31" s="145">
        <v>87.199999999999989</v>
      </c>
      <c r="N31" s="145">
        <v>13</v>
      </c>
      <c r="O31" s="145">
        <v>13</v>
      </c>
      <c r="P31" s="257" t="s">
        <v>454</v>
      </c>
      <c r="Q31" s="257" t="s">
        <v>753</v>
      </c>
      <c r="R31" s="257" t="s">
        <v>455</v>
      </c>
      <c r="S31" s="257" t="s">
        <v>754</v>
      </c>
      <c r="T31" s="640">
        <v>30</v>
      </c>
      <c r="U31" s="640">
        <v>36</v>
      </c>
      <c r="V31" s="293">
        <v>1.4477611940298507</v>
      </c>
      <c r="W31" s="293">
        <v>1.631578947368421</v>
      </c>
      <c r="X31" s="145">
        <v>6</v>
      </c>
      <c r="Y31" s="145">
        <v>5</v>
      </c>
      <c r="Z31" s="145">
        <v>22</v>
      </c>
      <c r="AA31" s="145">
        <v>20</v>
      </c>
      <c r="AB31" s="145">
        <v>28</v>
      </c>
      <c r="AC31" s="145">
        <v>20</v>
      </c>
      <c r="AD31" s="145">
        <v>37</v>
      </c>
      <c r="AE31" s="145">
        <v>34</v>
      </c>
      <c r="AF31" s="145">
        <v>52</v>
      </c>
      <c r="AG31" s="145">
        <v>52</v>
      </c>
    </row>
    <row r="32" spans="1:34" x14ac:dyDescent="0.2">
      <c r="A32" s="3" t="s">
        <v>207</v>
      </c>
      <c r="B32" s="3" t="s">
        <v>273</v>
      </c>
      <c r="C32" s="5">
        <v>78</v>
      </c>
      <c r="D32" s="57">
        <v>23</v>
      </c>
      <c r="E32" s="57">
        <v>4</v>
      </c>
      <c r="F32" s="5">
        <v>21</v>
      </c>
      <c r="G32" s="5">
        <v>20</v>
      </c>
      <c r="H32" s="5">
        <v>13</v>
      </c>
      <c r="I32" s="5">
        <v>13</v>
      </c>
      <c r="J32" s="5">
        <v>8</v>
      </c>
      <c r="K32" s="5">
        <v>7</v>
      </c>
      <c r="L32" s="5">
        <v>100.84</v>
      </c>
      <c r="M32" s="5">
        <v>99.6</v>
      </c>
      <c r="N32" s="5">
        <v>16</v>
      </c>
      <c r="O32" s="5">
        <v>16</v>
      </c>
      <c r="P32" s="9" t="s">
        <v>456</v>
      </c>
      <c r="Q32" s="9" t="s">
        <v>766</v>
      </c>
      <c r="R32" s="9" t="s">
        <v>457</v>
      </c>
      <c r="S32" s="9" t="s">
        <v>767</v>
      </c>
      <c r="T32" s="639">
        <v>12</v>
      </c>
      <c r="U32" s="639">
        <v>25</v>
      </c>
      <c r="V32" s="292">
        <v>1.1318681318681318</v>
      </c>
      <c r="W32" s="292">
        <v>1.3164556962025316</v>
      </c>
      <c r="X32" s="5">
        <v>7</v>
      </c>
      <c r="Y32" s="5">
        <v>6</v>
      </c>
      <c r="Z32" s="5">
        <v>25</v>
      </c>
      <c r="AA32" s="5">
        <v>23</v>
      </c>
      <c r="AB32" s="5">
        <v>42</v>
      </c>
      <c r="AC32" s="5">
        <v>32</v>
      </c>
      <c r="AD32" s="5">
        <v>48</v>
      </c>
      <c r="AE32" s="5">
        <v>52</v>
      </c>
      <c r="AF32" s="5">
        <v>60</v>
      </c>
      <c r="AG32" s="5">
        <v>68</v>
      </c>
    </row>
    <row r="33" spans="1:33" x14ac:dyDescent="0.2">
      <c r="A33" s="3" t="s">
        <v>210</v>
      </c>
      <c r="B33" s="3" t="s">
        <v>273</v>
      </c>
      <c r="C33" s="6">
        <v>60</v>
      </c>
      <c r="D33" s="6">
        <v>11</v>
      </c>
      <c r="E33" s="6">
        <v>21</v>
      </c>
      <c r="F33" s="6">
        <v>20</v>
      </c>
      <c r="G33" s="6">
        <v>20</v>
      </c>
      <c r="H33" s="6">
        <v>13</v>
      </c>
      <c r="I33" s="6">
        <v>12</v>
      </c>
      <c r="J33" s="6">
        <v>7</v>
      </c>
      <c r="K33" s="6">
        <v>8</v>
      </c>
      <c r="L33" s="6">
        <v>104.56</v>
      </c>
      <c r="M33" s="6">
        <v>105.8</v>
      </c>
      <c r="N33" s="6">
        <v>17</v>
      </c>
      <c r="O33" s="6">
        <v>17</v>
      </c>
      <c r="P33" s="10" t="s">
        <v>458</v>
      </c>
      <c r="Q33" s="10" t="s">
        <v>481</v>
      </c>
      <c r="R33" s="10" t="s">
        <v>459</v>
      </c>
      <c r="S33" s="10" t="s">
        <v>768</v>
      </c>
      <c r="T33" s="637">
        <v>82</v>
      </c>
      <c r="U33" s="637">
        <v>42</v>
      </c>
      <c r="V33" s="290">
        <v>1.881720430107527</v>
      </c>
      <c r="W33" s="290">
        <v>1.4375</v>
      </c>
      <c r="X33" s="6">
        <v>7</v>
      </c>
      <c r="Y33" s="6">
        <v>6</v>
      </c>
      <c r="Z33" s="6">
        <v>27</v>
      </c>
      <c r="AA33" s="6">
        <v>15</v>
      </c>
      <c r="AB33" s="6">
        <v>28</v>
      </c>
      <c r="AC33" s="6">
        <v>24</v>
      </c>
      <c r="AD33" s="6">
        <v>45</v>
      </c>
      <c r="AE33" s="6">
        <v>44</v>
      </c>
      <c r="AF33" s="6">
        <v>61</v>
      </c>
      <c r="AG33" s="6">
        <v>67</v>
      </c>
    </row>
    <row r="34" spans="1:33" x14ac:dyDescent="0.2">
      <c r="A34" s="3" t="s">
        <v>208</v>
      </c>
      <c r="B34" s="3" t="s">
        <v>273</v>
      </c>
      <c r="C34" s="5">
        <v>100</v>
      </c>
      <c r="D34" s="5">
        <v>6</v>
      </c>
      <c r="E34" s="5">
        <v>5</v>
      </c>
      <c r="F34" s="5">
        <v>16</v>
      </c>
      <c r="G34" s="5">
        <v>16</v>
      </c>
      <c r="H34" s="5">
        <v>11</v>
      </c>
      <c r="I34" s="5">
        <v>10</v>
      </c>
      <c r="J34" s="5">
        <v>5</v>
      </c>
      <c r="K34" s="5">
        <v>6</v>
      </c>
      <c r="L34" s="5">
        <v>113.24</v>
      </c>
      <c r="M34" s="5">
        <v>115.72</v>
      </c>
      <c r="N34" s="5">
        <v>16</v>
      </c>
      <c r="O34" s="5">
        <v>18</v>
      </c>
      <c r="P34" s="9" t="s">
        <v>466</v>
      </c>
      <c r="Q34" s="9" t="s">
        <v>751</v>
      </c>
      <c r="R34" s="9" t="s">
        <v>467</v>
      </c>
      <c r="S34" s="9" t="s">
        <v>752</v>
      </c>
      <c r="T34" s="639">
        <v>8</v>
      </c>
      <c r="U34" s="639">
        <v>70</v>
      </c>
      <c r="V34" s="292">
        <v>1.0740740740740742</v>
      </c>
      <c r="W34" s="292">
        <v>2.1111111111111112</v>
      </c>
      <c r="X34" s="5">
        <v>7</v>
      </c>
      <c r="Y34" s="5">
        <v>7</v>
      </c>
      <c r="Z34" s="5">
        <v>35</v>
      </c>
      <c r="AA34" s="5">
        <v>25</v>
      </c>
      <c r="AB34" s="5">
        <v>39</v>
      </c>
      <c r="AC34" s="5">
        <v>33</v>
      </c>
      <c r="AD34" s="5">
        <v>49</v>
      </c>
      <c r="AE34" s="5">
        <v>44</v>
      </c>
      <c r="AF34" s="5">
        <v>55</v>
      </c>
      <c r="AG34" s="5">
        <v>57</v>
      </c>
    </row>
    <row r="35" spans="1:33" x14ac:dyDescent="0.2">
      <c r="A35" s="3" t="s">
        <v>209</v>
      </c>
      <c r="B35" s="3" t="s">
        <v>273</v>
      </c>
      <c r="C35" s="6">
        <v>82</v>
      </c>
      <c r="D35" s="6">
        <v>6</v>
      </c>
      <c r="E35" s="6">
        <v>9</v>
      </c>
      <c r="F35" s="6">
        <v>18</v>
      </c>
      <c r="G35" s="6">
        <v>18</v>
      </c>
      <c r="H35" s="6">
        <v>11</v>
      </c>
      <c r="I35" s="6">
        <v>11</v>
      </c>
      <c r="J35" s="6">
        <v>7</v>
      </c>
      <c r="K35" s="6">
        <v>7</v>
      </c>
      <c r="L35" s="6">
        <v>98.359999999999985</v>
      </c>
      <c r="M35" s="6">
        <v>102.08</v>
      </c>
      <c r="N35" s="6">
        <v>14</v>
      </c>
      <c r="O35" s="6">
        <v>14</v>
      </c>
      <c r="P35" s="10" t="s">
        <v>481</v>
      </c>
      <c r="Q35" s="10" t="s">
        <v>784</v>
      </c>
      <c r="R35" s="10" t="s">
        <v>482</v>
      </c>
      <c r="S35" s="10" t="s">
        <v>785</v>
      </c>
      <c r="T35" s="637">
        <v>30</v>
      </c>
      <c r="U35" s="637">
        <v>45</v>
      </c>
      <c r="V35" s="290">
        <v>1.3125</v>
      </c>
      <c r="W35" s="290">
        <v>1.39</v>
      </c>
      <c r="X35" s="6">
        <v>6</v>
      </c>
      <c r="Y35" s="6">
        <v>6</v>
      </c>
      <c r="Z35" s="6">
        <v>19</v>
      </c>
      <c r="AA35" s="6">
        <v>18</v>
      </c>
      <c r="AB35" s="6">
        <v>26</v>
      </c>
      <c r="AC35" s="6">
        <v>35</v>
      </c>
      <c r="AD35" s="6">
        <v>46</v>
      </c>
      <c r="AE35" s="6">
        <v>46</v>
      </c>
      <c r="AF35" s="6">
        <v>58</v>
      </c>
      <c r="AG35" s="6">
        <v>53</v>
      </c>
    </row>
    <row r="36" spans="1:33" x14ac:dyDescent="0.2">
      <c r="A36" s="3" t="s">
        <v>468</v>
      </c>
      <c r="B36" s="3" t="s">
        <v>273</v>
      </c>
      <c r="C36" s="5">
        <v>100</v>
      </c>
      <c r="D36" s="5">
        <v>5</v>
      </c>
      <c r="E36" s="5">
        <v>7</v>
      </c>
      <c r="F36" s="5">
        <v>15</v>
      </c>
      <c r="G36" s="5">
        <v>16</v>
      </c>
      <c r="H36" s="5">
        <v>9</v>
      </c>
      <c r="I36" s="5">
        <v>8</v>
      </c>
      <c r="J36" s="5">
        <v>6</v>
      </c>
      <c r="K36" s="5">
        <v>8</v>
      </c>
      <c r="L36" s="5">
        <v>103.32</v>
      </c>
      <c r="M36" s="5">
        <v>99.6</v>
      </c>
      <c r="N36" s="5">
        <v>12</v>
      </c>
      <c r="O36" s="5">
        <v>12</v>
      </c>
      <c r="P36" s="9" t="s">
        <v>484</v>
      </c>
      <c r="Q36" s="9" t="s">
        <v>762</v>
      </c>
      <c r="R36" s="9" t="s">
        <v>485</v>
      </c>
      <c r="S36" s="9" t="s">
        <v>763</v>
      </c>
      <c r="T36" s="639">
        <v>29</v>
      </c>
      <c r="U36" s="639">
        <v>50</v>
      </c>
      <c r="V36" s="292">
        <v>1.5272727272727273</v>
      </c>
      <c r="W36" s="292">
        <v>1.9090909090909092</v>
      </c>
      <c r="X36" s="5">
        <v>6</v>
      </c>
      <c r="Y36" s="5">
        <v>6</v>
      </c>
      <c r="Z36" s="5">
        <v>42</v>
      </c>
      <c r="AA36" s="5">
        <v>39</v>
      </c>
      <c r="AB36" s="5">
        <v>43</v>
      </c>
      <c r="AC36" s="5">
        <v>43</v>
      </c>
      <c r="AD36" s="5">
        <v>56</v>
      </c>
      <c r="AE36" s="5">
        <v>58</v>
      </c>
      <c r="AF36" s="5">
        <v>56</v>
      </c>
      <c r="AG36" s="5">
        <v>58</v>
      </c>
    </row>
    <row r="37" spans="1:33" x14ac:dyDescent="0.2">
      <c r="A37" s="3" t="s">
        <v>469</v>
      </c>
      <c r="B37" s="3" t="s">
        <v>273</v>
      </c>
      <c r="C37" s="6">
        <v>100</v>
      </c>
      <c r="D37" s="6">
        <v>5</v>
      </c>
      <c r="E37" s="6"/>
      <c r="F37" s="6">
        <v>13</v>
      </c>
      <c r="G37" s="6"/>
      <c r="H37" s="6">
        <v>9</v>
      </c>
      <c r="I37" s="6"/>
      <c r="J37" s="6">
        <v>4</v>
      </c>
      <c r="K37" s="6"/>
      <c r="L37" s="6">
        <v>100.84</v>
      </c>
      <c r="M37" s="6"/>
      <c r="N37" s="6">
        <v>11</v>
      </c>
      <c r="O37" s="6"/>
      <c r="P37" s="10" t="s">
        <v>493</v>
      </c>
      <c r="Q37" s="10"/>
      <c r="R37" s="10" t="s">
        <v>494</v>
      </c>
      <c r="S37" s="10"/>
      <c r="T37" s="637">
        <v>52</v>
      </c>
      <c r="U37" s="637"/>
      <c r="V37" s="290">
        <v>1.5842696629213484</v>
      </c>
      <c r="W37" s="290"/>
      <c r="X37" s="6">
        <v>5</v>
      </c>
      <c r="Y37" s="6"/>
      <c r="Z37" s="6">
        <v>23</v>
      </c>
      <c r="AA37" s="6"/>
      <c r="AB37" s="6">
        <v>36</v>
      </c>
      <c r="AC37" s="6"/>
      <c r="AD37" s="6">
        <v>48</v>
      </c>
      <c r="AE37" s="6"/>
      <c r="AF37" s="6">
        <v>59</v>
      </c>
      <c r="AG37" s="6"/>
    </row>
    <row r="38" spans="1:33" x14ac:dyDescent="0.2">
      <c r="A38" s="3" t="s">
        <v>470</v>
      </c>
      <c r="B38" s="3" t="s">
        <v>273</v>
      </c>
      <c r="C38" s="5">
        <v>100</v>
      </c>
      <c r="D38" s="5">
        <v>2</v>
      </c>
      <c r="E38" s="5">
        <v>0</v>
      </c>
      <c r="F38" s="5">
        <v>24</v>
      </c>
      <c r="G38" s="5">
        <v>25</v>
      </c>
      <c r="H38" s="5">
        <v>14</v>
      </c>
      <c r="I38" s="5">
        <v>14</v>
      </c>
      <c r="J38" s="5">
        <v>10</v>
      </c>
      <c r="K38" s="5">
        <v>11</v>
      </c>
      <c r="L38" s="5">
        <v>123.16</v>
      </c>
      <c r="M38" s="5">
        <v>121.91999999999999</v>
      </c>
      <c r="N38" s="5">
        <v>16</v>
      </c>
      <c r="O38" s="5">
        <v>16</v>
      </c>
      <c r="P38" s="9" t="s">
        <v>501</v>
      </c>
      <c r="Q38" s="9" t="s">
        <v>675</v>
      </c>
      <c r="R38" s="9" t="s">
        <v>502</v>
      </c>
      <c r="S38" s="9" t="s">
        <v>791</v>
      </c>
      <c r="T38" s="639">
        <v>31</v>
      </c>
      <c r="U38" s="639">
        <v>14</v>
      </c>
      <c r="V38" s="292">
        <v>1.7749999999999999</v>
      </c>
      <c r="W38" s="292">
        <v>1.28</v>
      </c>
      <c r="X38" s="5">
        <v>7</v>
      </c>
      <c r="Y38" s="5">
        <v>6</v>
      </c>
      <c r="Z38" s="5">
        <v>30</v>
      </c>
      <c r="AA38" s="5">
        <v>25</v>
      </c>
      <c r="AB38" s="5">
        <v>42</v>
      </c>
      <c r="AC38" s="5">
        <v>34</v>
      </c>
      <c r="AD38" s="5">
        <v>56</v>
      </c>
      <c r="AE38" s="5">
        <v>51</v>
      </c>
      <c r="AF38" s="5">
        <v>64</v>
      </c>
      <c r="AG38" s="5">
        <v>61</v>
      </c>
    </row>
    <row r="39" spans="1:33" x14ac:dyDescent="0.2">
      <c r="A39" s="3" t="s">
        <v>471</v>
      </c>
      <c r="B39" s="3" t="s">
        <v>11</v>
      </c>
      <c r="C39" s="6">
        <v>100</v>
      </c>
      <c r="D39" s="6">
        <v>0</v>
      </c>
      <c r="E39" s="6">
        <v>0</v>
      </c>
      <c r="F39" s="6">
        <v>19</v>
      </c>
      <c r="G39" s="6">
        <v>19</v>
      </c>
      <c r="H39" s="6">
        <v>11</v>
      </c>
      <c r="I39" s="6">
        <v>11</v>
      </c>
      <c r="J39" s="6">
        <v>8</v>
      </c>
      <c r="K39" s="6">
        <v>8</v>
      </c>
      <c r="L39" s="6">
        <v>121.91999999999999</v>
      </c>
      <c r="M39" s="6">
        <v>123.16</v>
      </c>
      <c r="N39" s="6">
        <v>17</v>
      </c>
      <c r="O39" s="6">
        <v>19</v>
      </c>
      <c r="P39" s="10" t="s">
        <v>507</v>
      </c>
      <c r="Q39" s="10" t="s">
        <v>799</v>
      </c>
      <c r="R39" s="10" t="s">
        <v>508</v>
      </c>
      <c r="S39" s="10" t="s">
        <v>800</v>
      </c>
      <c r="T39" s="637">
        <v>37</v>
      </c>
      <c r="U39" s="637">
        <v>49</v>
      </c>
      <c r="V39" s="290">
        <v>1.8604651162790697</v>
      </c>
      <c r="W39" s="290">
        <v>2.2000000000000002</v>
      </c>
      <c r="X39" s="6">
        <v>7</v>
      </c>
      <c r="Y39" s="6">
        <v>7</v>
      </c>
      <c r="Z39" s="6">
        <v>37</v>
      </c>
      <c r="AA39" s="6">
        <v>22</v>
      </c>
      <c r="AB39" s="6">
        <v>27</v>
      </c>
      <c r="AC39" s="6">
        <v>16</v>
      </c>
      <c r="AD39" s="6">
        <v>43</v>
      </c>
      <c r="AE39" s="6">
        <v>45</v>
      </c>
      <c r="AF39" s="6">
        <v>54</v>
      </c>
      <c r="AG39" s="6">
        <v>61</v>
      </c>
    </row>
    <row r="40" spans="1:33" x14ac:dyDescent="0.2">
      <c r="A40" s="3" t="s">
        <v>472</v>
      </c>
      <c r="B40" s="3" t="s">
        <v>273</v>
      </c>
      <c r="C40" s="5">
        <v>100</v>
      </c>
      <c r="D40" s="5">
        <v>11</v>
      </c>
      <c r="E40" s="5">
        <v>18</v>
      </c>
      <c r="F40" s="5">
        <v>14</v>
      </c>
      <c r="G40" s="5">
        <v>19</v>
      </c>
      <c r="H40" s="5">
        <v>8</v>
      </c>
      <c r="I40" s="5">
        <v>11</v>
      </c>
      <c r="J40" s="5">
        <v>6</v>
      </c>
      <c r="K40" s="5">
        <v>8</v>
      </c>
      <c r="L40" s="5">
        <v>107.03999999999999</v>
      </c>
      <c r="M40" s="5">
        <v>103.32</v>
      </c>
      <c r="N40" s="5">
        <v>12</v>
      </c>
      <c r="O40" s="5">
        <v>14</v>
      </c>
      <c r="P40" s="9" t="s">
        <v>519</v>
      </c>
      <c r="Q40" s="9" t="s">
        <v>797</v>
      </c>
      <c r="R40" s="9" t="s">
        <v>520</v>
      </c>
      <c r="S40" s="9" t="s">
        <v>798</v>
      </c>
      <c r="T40" s="639">
        <v>42</v>
      </c>
      <c r="U40" s="639">
        <v>30</v>
      </c>
      <c r="V40" s="292">
        <v>1.9545454545454546</v>
      </c>
      <c r="W40" s="292">
        <v>1.49</v>
      </c>
      <c r="X40" s="5">
        <v>6</v>
      </c>
      <c r="Y40" s="5">
        <v>6</v>
      </c>
      <c r="Z40" s="5">
        <v>28</v>
      </c>
      <c r="AA40" s="5">
        <v>32</v>
      </c>
      <c r="AB40" s="5">
        <v>23</v>
      </c>
      <c r="AC40" s="5">
        <v>29</v>
      </c>
      <c r="AD40" s="5">
        <v>42</v>
      </c>
      <c r="AE40" s="5">
        <v>41</v>
      </c>
      <c r="AF40" s="5">
        <v>59</v>
      </c>
      <c r="AG40" s="5">
        <v>55</v>
      </c>
    </row>
    <row r="41" spans="1:33" x14ac:dyDescent="0.2">
      <c r="A41" s="3" t="s">
        <v>473</v>
      </c>
      <c r="B41" s="3" t="s">
        <v>11</v>
      </c>
      <c r="C41" s="6">
        <v>100</v>
      </c>
      <c r="D41" s="6">
        <v>6</v>
      </c>
      <c r="E41" s="6">
        <v>0</v>
      </c>
      <c r="F41" s="6">
        <v>15</v>
      </c>
      <c r="G41" s="6">
        <v>12</v>
      </c>
      <c r="H41" s="6">
        <v>9</v>
      </c>
      <c r="I41" s="6">
        <v>8</v>
      </c>
      <c r="J41" s="6">
        <v>6</v>
      </c>
      <c r="K41" s="6">
        <v>4</v>
      </c>
      <c r="L41" s="6">
        <v>104.56</v>
      </c>
      <c r="M41" s="6">
        <v>105.8</v>
      </c>
      <c r="N41" s="6">
        <v>12</v>
      </c>
      <c r="O41" s="6">
        <v>12</v>
      </c>
      <c r="P41" s="10" t="s">
        <v>604</v>
      </c>
      <c r="Q41" s="10" t="s">
        <v>786</v>
      </c>
      <c r="R41" s="10" t="s">
        <v>605</v>
      </c>
      <c r="S41" s="10" t="s">
        <v>787</v>
      </c>
      <c r="T41" s="637">
        <v>36</v>
      </c>
      <c r="U41" s="637">
        <v>45</v>
      </c>
      <c r="V41" s="290">
        <v>2.0588235294117645</v>
      </c>
      <c r="W41" s="290">
        <v>2.29</v>
      </c>
      <c r="X41" s="6">
        <v>7</v>
      </c>
      <c r="Y41" s="6">
        <v>5</v>
      </c>
      <c r="Z41" s="6">
        <v>39</v>
      </c>
      <c r="AA41" s="6">
        <v>39</v>
      </c>
      <c r="AB41" s="6">
        <v>50</v>
      </c>
      <c r="AC41" s="6">
        <v>43</v>
      </c>
      <c r="AD41" s="6">
        <v>55</v>
      </c>
      <c r="AE41" s="6">
        <v>58</v>
      </c>
      <c r="AF41" s="6">
        <v>53</v>
      </c>
      <c r="AG41" s="6">
        <v>58</v>
      </c>
    </row>
    <row r="42" spans="1:33" x14ac:dyDescent="0.2">
      <c r="P42" s="9"/>
    </row>
    <row r="43" spans="1:33" x14ac:dyDescent="0.2">
      <c r="C43" s="6"/>
      <c r="D43" s="6"/>
      <c r="E43" s="6"/>
      <c r="F43" s="6"/>
      <c r="G43" s="6"/>
      <c r="H43" s="6"/>
      <c r="I43" s="6"/>
      <c r="J43" s="6"/>
      <c r="K43" s="6"/>
      <c r="L43" s="6"/>
      <c r="M43" s="6"/>
      <c r="N43" s="6"/>
      <c r="O43" s="6"/>
      <c r="P43" s="10"/>
      <c r="Q43" s="10"/>
      <c r="R43" s="10"/>
      <c r="S43" s="10"/>
      <c r="T43" s="290"/>
      <c r="U43" s="290"/>
      <c r="V43" s="290"/>
      <c r="W43" s="290"/>
      <c r="X43" s="6"/>
      <c r="Y43" s="6"/>
      <c r="Z43" s="6"/>
      <c r="AA43" s="6"/>
      <c r="AB43" s="6"/>
      <c r="AC43" s="6"/>
      <c r="AD43" s="6"/>
      <c r="AE43" s="6"/>
      <c r="AF43" s="6"/>
      <c r="AG43" s="6"/>
    </row>
    <row r="44" spans="1:33" x14ac:dyDescent="0.2">
      <c r="P44" s="9"/>
    </row>
    <row r="45" spans="1:33" x14ac:dyDescent="0.2">
      <c r="C45" s="6"/>
      <c r="D45" s="6"/>
      <c r="E45" s="6"/>
      <c r="F45" s="6"/>
      <c r="G45" s="6"/>
      <c r="H45" s="6"/>
      <c r="I45" s="6"/>
      <c r="J45" s="6"/>
      <c r="K45" s="6"/>
      <c r="L45" s="6"/>
      <c r="M45" s="6"/>
      <c r="N45" s="6"/>
      <c r="O45" s="6"/>
      <c r="P45" s="10"/>
      <c r="Q45" s="10"/>
      <c r="R45" s="10"/>
      <c r="S45" s="10"/>
      <c r="T45" s="290"/>
      <c r="U45" s="290"/>
      <c r="V45" s="290"/>
      <c r="W45" s="290"/>
      <c r="X45" s="6"/>
      <c r="Y45" s="6"/>
      <c r="Z45" s="6"/>
      <c r="AA45" s="6"/>
      <c r="AB45" s="6"/>
      <c r="AC45" s="6"/>
      <c r="AD45" s="6"/>
      <c r="AE45" s="6"/>
      <c r="AF45" s="6"/>
      <c r="AG45" s="6"/>
    </row>
    <row r="46" spans="1:33" x14ac:dyDescent="0.2">
      <c r="P46" s="9"/>
    </row>
    <row r="47" spans="1:33" x14ac:dyDescent="0.2">
      <c r="C47" s="6"/>
      <c r="D47" s="6"/>
      <c r="E47" s="6"/>
      <c r="F47" s="6"/>
      <c r="G47" s="6"/>
      <c r="H47" s="6"/>
      <c r="I47" s="6"/>
      <c r="J47" s="6"/>
      <c r="K47" s="6"/>
      <c r="L47" s="6"/>
      <c r="M47" s="6"/>
      <c r="N47" s="6"/>
      <c r="O47" s="6"/>
      <c r="P47" s="10"/>
      <c r="Q47" s="10"/>
      <c r="R47" s="10"/>
      <c r="S47" s="10"/>
      <c r="T47" s="290"/>
      <c r="U47" s="290"/>
      <c r="V47" s="290"/>
      <c r="W47" s="290"/>
      <c r="X47" s="6"/>
      <c r="Y47" s="6"/>
      <c r="Z47" s="6"/>
      <c r="AA47" s="6"/>
      <c r="AB47" s="6"/>
      <c r="AC47" s="6"/>
      <c r="AD47" s="6"/>
      <c r="AE47" s="6"/>
      <c r="AF47" s="6"/>
      <c r="AG47" s="6"/>
    </row>
    <row r="48" spans="1:33" x14ac:dyDescent="0.2">
      <c r="A48" s="42"/>
      <c r="B48" s="42"/>
      <c r="P48" s="9"/>
    </row>
    <row r="49" spans="1:33" s="295" customFormat="1" x14ac:dyDescent="0.2">
      <c r="A49" s="2" t="s">
        <v>38</v>
      </c>
      <c r="B49" s="3"/>
      <c r="C49" s="296"/>
      <c r="D49" s="296"/>
      <c r="E49" s="296"/>
      <c r="F49" s="296"/>
      <c r="G49" s="296"/>
      <c r="H49" s="296"/>
      <c r="I49" s="296"/>
      <c r="J49" s="296"/>
      <c r="K49" s="296"/>
      <c r="L49" s="296"/>
      <c r="M49" s="296"/>
      <c r="N49" s="296"/>
      <c r="O49" s="296"/>
      <c r="P49" s="297"/>
      <c r="Q49" s="297"/>
      <c r="R49" s="297"/>
      <c r="S49" s="297"/>
      <c r="T49" s="302"/>
      <c r="U49" s="302"/>
      <c r="V49" s="302"/>
      <c r="W49" s="302"/>
      <c r="X49" s="296"/>
      <c r="Y49" s="296"/>
      <c r="Z49" s="296"/>
      <c r="AA49" s="296"/>
      <c r="AB49" s="296"/>
      <c r="AC49" s="296"/>
      <c r="AD49" s="296"/>
      <c r="AE49" s="296"/>
      <c r="AF49" s="296"/>
      <c r="AG49" s="296"/>
    </row>
    <row r="50" spans="1:33" x14ac:dyDescent="0.2">
      <c r="A50" s="294" t="s">
        <v>98</v>
      </c>
      <c r="B50" s="294" t="s">
        <v>147</v>
      </c>
      <c r="C50" s="5">
        <v>100</v>
      </c>
      <c r="D50" s="5">
        <v>7</v>
      </c>
      <c r="E50" s="5">
        <v>6</v>
      </c>
      <c r="F50" s="5">
        <v>16</v>
      </c>
      <c r="G50" s="5">
        <v>21</v>
      </c>
      <c r="H50" s="5">
        <v>8</v>
      </c>
      <c r="I50" s="5">
        <v>13</v>
      </c>
      <c r="J50" s="5">
        <v>8</v>
      </c>
      <c r="K50" s="5">
        <v>8</v>
      </c>
      <c r="L50" s="5">
        <v>102.08</v>
      </c>
      <c r="M50" s="5">
        <v>112</v>
      </c>
      <c r="N50" s="5">
        <v>16</v>
      </c>
      <c r="O50" s="5">
        <v>16</v>
      </c>
      <c r="P50" s="9" t="s">
        <v>148</v>
      </c>
      <c r="Q50" s="9" t="s">
        <v>636</v>
      </c>
      <c r="R50" s="9" t="s">
        <v>149</v>
      </c>
      <c r="S50" s="488" t="s">
        <v>637</v>
      </c>
      <c r="T50" s="356">
        <v>51</v>
      </c>
      <c r="U50" s="356">
        <v>56</v>
      </c>
      <c r="V50" s="280">
        <v>3.55</v>
      </c>
      <c r="W50" s="280">
        <v>4.7333333333333334</v>
      </c>
      <c r="X50" s="90">
        <v>7</v>
      </c>
      <c r="Y50" s="90">
        <v>8</v>
      </c>
      <c r="Z50" s="151">
        <v>36</v>
      </c>
      <c r="AA50" s="151">
        <v>46</v>
      </c>
      <c r="AB50" s="153">
        <v>42</v>
      </c>
      <c r="AC50" s="148">
        <v>38</v>
      </c>
      <c r="AD50" s="148">
        <v>46</v>
      </c>
      <c r="AE50" s="148">
        <v>54</v>
      </c>
      <c r="AF50" s="91">
        <v>54</v>
      </c>
      <c r="AG50" s="5">
        <v>61</v>
      </c>
    </row>
    <row r="51" spans="1:33" x14ac:dyDescent="0.2">
      <c r="A51" s="3" t="s">
        <v>100</v>
      </c>
      <c r="B51" s="3" t="s">
        <v>147</v>
      </c>
      <c r="C51" s="6">
        <v>80</v>
      </c>
      <c r="D51" s="6">
        <v>6</v>
      </c>
      <c r="E51" s="6">
        <v>2</v>
      </c>
      <c r="F51" s="6">
        <v>20</v>
      </c>
      <c r="G51" s="6">
        <v>22</v>
      </c>
      <c r="H51" s="6">
        <v>12</v>
      </c>
      <c r="I51" s="6">
        <v>12</v>
      </c>
      <c r="J51" s="6">
        <v>8</v>
      </c>
      <c r="K51" s="6">
        <v>10</v>
      </c>
      <c r="L51" s="6">
        <v>108.28</v>
      </c>
      <c r="M51" s="6">
        <v>114.47999999999999</v>
      </c>
      <c r="N51" s="6">
        <v>20</v>
      </c>
      <c r="O51" s="6">
        <v>22</v>
      </c>
      <c r="P51" s="10" t="s">
        <v>159</v>
      </c>
      <c r="Q51" s="10" t="s">
        <v>689</v>
      </c>
      <c r="R51" s="10" t="s">
        <v>160</v>
      </c>
      <c r="S51" s="10" t="s">
        <v>690</v>
      </c>
      <c r="T51" s="637">
        <v>22</v>
      </c>
      <c r="U51" s="637">
        <v>20</v>
      </c>
      <c r="V51" s="290">
        <v>2</v>
      </c>
      <c r="W51" s="290">
        <v>2.0526315789473686</v>
      </c>
      <c r="X51" s="6">
        <v>6</v>
      </c>
      <c r="Y51" s="6">
        <v>6</v>
      </c>
      <c r="Z51" s="6">
        <v>39</v>
      </c>
      <c r="AA51" s="6">
        <v>38</v>
      </c>
      <c r="AB51" s="6">
        <v>49</v>
      </c>
      <c r="AC51" s="6">
        <v>48</v>
      </c>
      <c r="AD51" s="6">
        <v>57</v>
      </c>
      <c r="AE51" s="6">
        <v>44</v>
      </c>
      <c r="AF51" s="6">
        <v>63</v>
      </c>
      <c r="AG51" s="6">
        <v>51</v>
      </c>
    </row>
    <row r="52" spans="1:33" x14ac:dyDescent="0.2">
      <c r="A52" s="3" t="s">
        <v>107</v>
      </c>
      <c r="B52" s="3" t="s">
        <v>147</v>
      </c>
      <c r="C52" s="5">
        <v>100</v>
      </c>
      <c r="D52" s="5">
        <v>13</v>
      </c>
      <c r="E52" s="5">
        <v>4</v>
      </c>
      <c r="F52" s="5">
        <v>14</v>
      </c>
      <c r="G52" s="5">
        <v>18</v>
      </c>
      <c r="H52" s="5">
        <v>8</v>
      </c>
      <c r="I52" s="5">
        <v>12</v>
      </c>
      <c r="J52" s="5">
        <v>6</v>
      </c>
      <c r="K52" s="5">
        <v>6</v>
      </c>
      <c r="L52" s="5">
        <v>114.47999999999999</v>
      </c>
      <c r="M52" s="5">
        <v>120.67999999999999</v>
      </c>
      <c r="N52" s="5">
        <v>16</v>
      </c>
      <c r="O52" s="5">
        <v>17</v>
      </c>
      <c r="P52" s="9" t="s">
        <v>162</v>
      </c>
      <c r="Q52" s="9" t="s">
        <v>659</v>
      </c>
      <c r="R52" s="9" t="s">
        <v>163</v>
      </c>
      <c r="S52" s="9" t="s">
        <v>660</v>
      </c>
      <c r="T52" s="639">
        <v>18</v>
      </c>
      <c r="U52" s="639">
        <v>45</v>
      </c>
      <c r="V52" s="292">
        <v>1.5806451612903225</v>
      </c>
      <c r="W52" s="292">
        <v>3.0454545454545454</v>
      </c>
      <c r="X52" s="5">
        <v>6</v>
      </c>
      <c r="Y52" s="5">
        <v>6</v>
      </c>
      <c r="Z52" s="5">
        <v>52</v>
      </c>
      <c r="AA52" s="5">
        <v>57</v>
      </c>
      <c r="AB52" s="5">
        <v>50</v>
      </c>
      <c r="AC52" s="5">
        <v>49</v>
      </c>
      <c r="AD52" s="5">
        <v>58</v>
      </c>
      <c r="AE52" s="5">
        <v>54</v>
      </c>
      <c r="AF52" s="5">
        <v>57</v>
      </c>
      <c r="AG52" s="5">
        <v>52</v>
      </c>
    </row>
    <row r="53" spans="1:33" x14ac:dyDescent="0.2">
      <c r="A53" s="3" t="s">
        <v>168</v>
      </c>
      <c r="B53" s="3" t="s">
        <v>147</v>
      </c>
      <c r="C53" s="6">
        <v>64</v>
      </c>
      <c r="D53" s="6">
        <v>6</v>
      </c>
      <c r="E53" s="6">
        <v>11</v>
      </c>
      <c r="F53" s="6">
        <v>24</v>
      </c>
      <c r="G53" s="6">
        <v>26</v>
      </c>
      <c r="H53" s="6">
        <v>13</v>
      </c>
      <c r="I53" s="6">
        <v>13</v>
      </c>
      <c r="J53" s="6">
        <v>11</v>
      </c>
      <c r="K53" s="6">
        <v>13</v>
      </c>
      <c r="L53" s="6">
        <v>104.56</v>
      </c>
      <c r="M53" s="6">
        <v>116.96</v>
      </c>
      <c r="N53" s="6">
        <v>13</v>
      </c>
      <c r="O53" s="6">
        <v>14</v>
      </c>
      <c r="P53" s="10" t="s">
        <v>169</v>
      </c>
      <c r="Q53" s="10" t="s">
        <v>663</v>
      </c>
      <c r="R53" s="10" t="s">
        <v>170</v>
      </c>
      <c r="S53" s="10" t="s">
        <v>664</v>
      </c>
      <c r="T53" s="637">
        <v>43</v>
      </c>
      <c r="U53" s="637">
        <v>21</v>
      </c>
      <c r="V53" s="290">
        <v>2.72</v>
      </c>
      <c r="W53" s="290">
        <v>1.84</v>
      </c>
      <c r="X53" s="6">
        <v>7</v>
      </c>
      <c r="Y53" s="6">
        <v>7</v>
      </c>
      <c r="Z53" s="6">
        <v>45</v>
      </c>
      <c r="AA53" s="6">
        <v>50</v>
      </c>
      <c r="AB53" s="6">
        <v>62</v>
      </c>
      <c r="AC53" s="6">
        <v>56</v>
      </c>
      <c r="AD53" s="6">
        <v>56</v>
      </c>
      <c r="AE53" s="6">
        <v>64</v>
      </c>
      <c r="AF53" s="6">
        <v>52</v>
      </c>
      <c r="AG53" s="6">
        <v>62</v>
      </c>
    </row>
    <row r="54" spans="1:33" x14ac:dyDescent="0.2">
      <c r="A54" s="3" t="s">
        <v>192</v>
      </c>
      <c r="B54" s="3" t="s">
        <v>147</v>
      </c>
      <c r="C54" s="5">
        <v>82</v>
      </c>
      <c r="D54" s="5">
        <v>0</v>
      </c>
      <c r="E54" s="5">
        <v>0</v>
      </c>
      <c r="F54" s="5">
        <v>24</v>
      </c>
      <c r="G54" s="5">
        <v>25</v>
      </c>
      <c r="H54" s="5">
        <v>16</v>
      </c>
      <c r="I54" s="5">
        <v>13</v>
      </c>
      <c r="J54" s="5">
        <v>8</v>
      </c>
      <c r="K54" s="5">
        <v>12</v>
      </c>
      <c r="L54" s="5">
        <v>108.28</v>
      </c>
      <c r="M54" s="5">
        <v>112</v>
      </c>
      <c r="N54" s="5">
        <v>15</v>
      </c>
      <c r="O54" s="5">
        <v>15</v>
      </c>
      <c r="P54" s="9" t="s">
        <v>193</v>
      </c>
      <c r="Q54" s="9" t="s">
        <v>673</v>
      </c>
      <c r="R54" s="9" t="s">
        <v>194</v>
      </c>
      <c r="S54" s="9" t="s">
        <v>674</v>
      </c>
      <c r="T54" s="639">
        <v>45</v>
      </c>
      <c r="U54" s="639">
        <v>23</v>
      </c>
      <c r="V54" s="292">
        <v>2.2857142857142856</v>
      </c>
      <c r="W54" s="292">
        <v>2</v>
      </c>
      <c r="X54" s="5">
        <v>7</v>
      </c>
      <c r="Y54" s="5">
        <v>6</v>
      </c>
      <c r="Z54" s="5">
        <v>39</v>
      </c>
      <c r="AA54" s="5">
        <v>59</v>
      </c>
      <c r="AB54" s="5">
        <v>45</v>
      </c>
      <c r="AC54" s="5">
        <v>49</v>
      </c>
      <c r="AD54" s="5">
        <v>57</v>
      </c>
      <c r="AE54" s="5">
        <v>58</v>
      </c>
      <c r="AF54" s="5">
        <v>63</v>
      </c>
      <c r="AG54" s="5">
        <v>57</v>
      </c>
    </row>
    <row r="55" spans="1:33" x14ac:dyDescent="0.2">
      <c r="A55" s="3" t="s">
        <v>195</v>
      </c>
      <c r="B55" s="3" t="s">
        <v>147</v>
      </c>
      <c r="C55" s="6">
        <v>100</v>
      </c>
      <c r="D55" s="6">
        <v>6</v>
      </c>
      <c r="E55" s="6">
        <v>12</v>
      </c>
      <c r="F55" s="6">
        <v>18</v>
      </c>
      <c r="G55" s="6">
        <v>16</v>
      </c>
      <c r="H55" s="6">
        <v>12</v>
      </c>
      <c r="I55" s="6">
        <v>8</v>
      </c>
      <c r="J55" s="6">
        <v>6</v>
      </c>
      <c r="K55" s="6">
        <v>8</v>
      </c>
      <c r="L55" s="6">
        <v>109.52</v>
      </c>
      <c r="M55" s="6">
        <v>113.24</v>
      </c>
      <c r="N55" s="6">
        <v>15</v>
      </c>
      <c r="O55" s="6">
        <v>16.5</v>
      </c>
      <c r="P55" s="10" t="s">
        <v>196</v>
      </c>
      <c r="Q55" s="10" t="s">
        <v>671</v>
      </c>
      <c r="R55" s="10" t="s">
        <v>197</v>
      </c>
      <c r="S55" s="10" t="s">
        <v>672</v>
      </c>
      <c r="T55" s="637">
        <v>38</v>
      </c>
      <c r="U55" s="637">
        <v>29</v>
      </c>
      <c r="V55" s="290">
        <v>2.1875</v>
      </c>
      <c r="W55" s="290">
        <v>2</v>
      </c>
      <c r="X55" s="6">
        <v>6</v>
      </c>
      <c r="Y55" s="6">
        <v>6</v>
      </c>
      <c r="Z55" s="6">
        <v>37</v>
      </c>
      <c r="AA55" s="6">
        <v>42</v>
      </c>
      <c r="AB55" s="6">
        <v>36</v>
      </c>
      <c r="AC55" s="6">
        <v>40</v>
      </c>
      <c r="AD55" s="6">
        <v>50</v>
      </c>
      <c r="AE55" s="6">
        <v>49</v>
      </c>
      <c r="AF55" s="6">
        <v>60</v>
      </c>
      <c r="AG55" s="6">
        <v>58</v>
      </c>
    </row>
    <row r="56" spans="1:33" x14ac:dyDescent="0.2">
      <c r="A56" s="3" t="s">
        <v>211</v>
      </c>
      <c r="B56" s="3" t="s">
        <v>147</v>
      </c>
      <c r="C56" s="5">
        <v>64</v>
      </c>
      <c r="D56" s="5">
        <v>14</v>
      </c>
      <c r="E56" s="5">
        <v>11</v>
      </c>
      <c r="F56" s="5">
        <v>10</v>
      </c>
      <c r="G56" s="5">
        <v>10</v>
      </c>
      <c r="H56" s="5">
        <v>7</v>
      </c>
      <c r="I56" s="5">
        <v>6</v>
      </c>
      <c r="J56" s="5">
        <v>3</v>
      </c>
      <c r="K56" s="5">
        <v>4</v>
      </c>
      <c r="L56" s="5">
        <v>92.16</v>
      </c>
      <c r="M56" s="5">
        <v>93.399999999999991</v>
      </c>
      <c r="N56" s="5">
        <v>13</v>
      </c>
      <c r="O56" s="5">
        <v>13</v>
      </c>
      <c r="P56" s="9" t="s">
        <v>212</v>
      </c>
      <c r="Q56" s="9" t="s">
        <v>667</v>
      </c>
      <c r="R56" s="9" t="s">
        <v>213</v>
      </c>
      <c r="S56" s="9" t="s">
        <v>668</v>
      </c>
      <c r="T56" s="639">
        <v>39</v>
      </c>
      <c r="U56" s="639">
        <v>24</v>
      </c>
      <c r="V56" s="292">
        <v>2.21875</v>
      </c>
      <c r="W56" s="292">
        <v>1.8571428571428572</v>
      </c>
      <c r="X56" s="5">
        <v>7</v>
      </c>
      <c r="Y56" s="5">
        <v>8</v>
      </c>
      <c r="Z56" s="5">
        <v>27</v>
      </c>
      <c r="AA56" s="5">
        <v>25</v>
      </c>
      <c r="AB56" s="5">
        <v>38</v>
      </c>
      <c r="AC56" s="5">
        <v>42</v>
      </c>
      <c r="AD56" s="5">
        <v>38</v>
      </c>
      <c r="AE56" s="5">
        <v>42</v>
      </c>
      <c r="AF56" s="5">
        <v>49</v>
      </c>
      <c r="AG56" s="5">
        <v>53</v>
      </c>
    </row>
    <row r="57" spans="1:33" x14ac:dyDescent="0.2">
      <c r="A57" s="3" t="s">
        <v>215</v>
      </c>
      <c r="B57" s="3" t="s">
        <v>147</v>
      </c>
      <c r="C57" s="6">
        <v>82</v>
      </c>
      <c r="D57" s="6">
        <v>3</v>
      </c>
      <c r="E57" s="6">
        <v>3</v>
      </c>
      <c r="F57" s="6">
        <v>22</v>
      </c>
      <c r="G57" s="6">
        <v>24</v>
      </c>
      <c r="H57" s="6">
        <v>13</v>
      </c>
      <c r="I57" s="6">
        <v>14</v>
      </c>
      <c r="J57" s="6">
        <v>9</v>
      </c>
      <c r="K57" s="6">
        <v>10</v>
      </c>
      <c r="L57" s="6">
        <v>103.32</v>
      </c>
      <c r="M57" s="6">
        <v>112</v>
      </c>
      <c r="N57" s="6">
        <v>19</v>
      </c>
      <c r="O57" s="6">
        <v>21</v>
      </c>
      <c r="P57" s="10" t="s">
        <v>216</v>
      </c>
      <c r="Q57" s="10" t="s">
        <v>657</v>
      </c>
      <c r="R57" s="10" t="s">
        <v>217</v>
      </c>
      <c r="S57" s="10" t="s">
        <v>658</v>
      </c>
      <c r="T57" s="637">
        <v>23</v>
      </c>
      <c r="U57" s="637">
        <v>20</v>
      </c>
      <c r="V57" s="290">
        <v>2.0952380952380953</v>
      </c>
      <c r="W57" s="290">
        <v>1.9523809523809523</v>
      </c>
      <c r="X57" s="6">
        <v>7</v>
      </c>
      <c r="Y57" s="6">
        <v>9</v>
      </c>
      <c r="Z57" s="6">
        <v>39</v>
      </c>
      <c r="AA57" s="6">
        <v>31</v>
      </c>
      <c r="AB57" s="6">
        <v>44</v>
      </c>
      <c r="AC57" s="6">
        <v>41</v>
      </c>
      <c r="AD57" s="6">
        <v>58</v>
      </c>
      <c r="AE57" s="6">
        <v>60</v>
      </c>
      <c r="AF57" s="6">
        <v>65</v>
      </c>
      <c r="AG57" s="6">
        <v>69</v>
      </c>
    </row>
    <row r="58" spans="1:33" x14ac:dyDescent="0.2">
      <c r="A58" s="3" t="s">
        <v>218</v>
      </c>
      <c r="B58" s="3" t="s">
        <v>147</v>
      </c>
      <c r="C58" s="5">
        <v>100</v>
      </c>
      <c r="D58" s="5">
        <v>0</v>
      </c>
      <c r="E58" s="5">
        <v>0</v>
      </c>
      <c r="F58" s="5">
        <v>15</v>
      </c>
      <c r="G58" s="5">
        <v>16</v>
      </c>
      <c r="H58" s="5">
        <v>10</v>
      </c>
      <c r="I58" s="5">
        <v>10</v>
      </c>
      <c r="J58" s="5">
        <v>5</v>
      </c>
      <c r="K58" s="5">
        <v>6</v>
      </c>
      <c r="L58" s="5">
        <v>105.8</v>
      </c>
      <c r="M58" s="5">
        <v>105.8</v>
      </c>
      <c r="N58" s="5">
        <v>18</v>
      </c>
      <c r="O58" s="5">
        <v>18</v>
      </c>
      <c r="P58" s="9" t="s">
        <v>219</v>
      </c>
      <c r="Q58" s="9" t="s">
        <v>691</v>
      </c>
      <c r="R58" s="9" t="s">
        <v>220</v>
      </c>
      <c r="S58" s="9" t="s">
        <v>692</v>
      </c>
      <c r="T58" s="639">
        <v>21</v>
      </c>
      <c r="U58" s="639">
        <v>25</v>
      </c>
      <c r="V58" s="292">
        <v>1.6</v>
      </c>
      <c r="W58" s="292">
        <v>1.8064516129032258</v>
      </c>
      <c r="X58" s="5">
        <v>4</v>
      </c>
      <c r="Y58" s="5">
        <v>5</v>
      </c>
      <c r="Z58" s="5">
        <v>43</v>
      </c>
      <c r="AA58" s="5">
        <v>39</v>
      </c>
      <c r="AB58" s="5">
        <v>23</v>
      </c>
      <c r="AC58" s="5">
        <v>17</v>
      </c>
      <c r="AD58" s="5">
        <v>53</v>
      </c>
      <c r="AE58" s="5">
        <v>50</v>
      </c>
      <c r="AF58" s="5">
        <v>67</v>
      </c>
      <c r="AG58" s="5">
        <v>67</v>
      </c>
    </row>
    <row r="59" spans="1:33" x14ac:dyDescent="0.2">
      <c r="A59" s="3" t="s">
        <v>238</v>
      </c>
      <c r="B59" s="3" t="s">
        <v>147</v>
      </c>
      <c r="C59" s="6">
        <v>67</v>
      </c>
      <c r="D59" s="6">
        <v>9</v>
      </c>
      <c r="E59" s="6"/>
      <c r="F59" s="6">
        <v>15</v>
      </c>
      <c r="G59" s="6"/>
      <c r="H59" s="6">
        <v>10</v>
      </c>
      <c r="I59" s="6"/>
      <c r="J59" s="6">
        <v>5</v>
      </c>
      <c r="K59" s="6"/>
      <c r="L59" s="145">
        <v>105.8</v>
      </c>
      <c r="M59" s="145"/>
      <c r="N59" s="53">
        <v>17</v>
      </c>
      <c r="O59" s="53"/>
      <c r="P59" s="10" t="s">
        <v>240</v>
      </c>
      <c r="Q59" s="10"/>
      <c r="R59" s="10" t="s">
        <v>239</v>
      </c>
      <c r="S59" s="10"/>
      <c r="T59" s="637">
        <v>20</v>
      </c>
      <c r="U59" s="637"/>
      <c r="V59" s="290">
        <v>1.4</v>
      </c>
      <c r="W59" s="290"/>
      <c r="X59" s="6">
        <v>6</v>
      </c>
      <c r="Y59" s="6"/>
      <c r="Z59" s="6">
        <v>41</v>
      </c>
      <c r="AA59" s="6"/>
      <c r="AB59" s="6">
        <v>49</v>
      </c>
      <c r="AC59" s="6"/>
      <c r="AD59" s="6">
        <v>47</v>
      </c>
      <c r="AE59" s="6"/>
      <c r="AF59" s="6">
        <v>52</v>
      </c>
      <c r="AG59" s="6"/>
    </row>
    <row r="60" spans="1:33" x14ac:dyDescent="0.2">
      <c r="A60" s="3" t="s">
        <v>242</v>
      </c>
      <c r="B60" s="3" t="s">
        <v>147</v>
      </c>
      <c r="C60" s="5">
        <v>100</v>
      </c>
      <c r="D60" s="5">
        <v>1</v>
      </c>
      <c r="E60" s="5">
        <v>5</v>
      </c>
      <c r="F60" s="5">
        <v>18</v>
      </c>
      <c r="G60" s="5">
        <v>16</v>
      </c>
      <c r="H60" s="5">
        <v>11</v>
      </c>
      <c r="I60" s="5">
        <v>10</v>
      </c>
      <c r="J60" s="5">
        <v>7</v>
      </c>
      <c r="K60" s="5">
        <v>6</v>
      </c>
      <c r="L60" s="5">
        <v>103.32</v>
      </c>
      <c r="M60" s="5">
        <v>112</v>
      </c>
      <c r="N60" s="5">
        <v>16</v>
      </c>
      <c r="O60" s="5">
        <v>16</v>
      </c>
      <c r="P60" s="9" t="s">
        <v>243</v>
      </c>
      <c r="Q60" s="9" t="s">
        <v>731</v>
      </c>
      <c r="R60" s="9" t="s">
        <v>244</v>
      </c>
      <c r="S60" s="9" t="s">
        <v>732</v>
      </c>
      <c r="T60" s="639">
        <v>100</v>
      </c>
      <c r="U60" s="639">
        <v>58</v>
      </c>
      <c r="V60" s="292">
        <v>3.7027027027027026</v>
      </c>
      <c r="W60" s="292">
        <v>2.5263157894736841</v>
      </c>
      <c r="X60" s="5">
        <v>6</v>
      </c>
      <c r="Y60" s="5">
        <v>6</v>
      </c>
      <c r="Z60" s="5">
        <v>30</v>
      </c>
      <c r="AA60" s="5">
        <v>30</v>
      </c>
      <c r="AB60" s="5">
        <v>35</v>
      </c>
      <c r="AC60" s="5">
        <v>44</v>
      </c>
      <c r="AD60" s="5">
        <v>30</v>
      </c>
      <c r="AE60" s="5">
        <v>47</v>
      </c>
      <c r="AF60" s="5">
        <v>50</v>
      </c>
      <c r="AG60" s="5">
        <v>56</v>
      </c>
    </row>
    <row r="61" spans="1:33" x14ac:dyDescent="0.2">
      <c r="A61" s="3" t="s">
        <v>249</v>
      </c>
      <c r="B61" s="3" t="s">
        <v>147</v>
      </c>
      <c r="C61" s="6">
        <v>100</v>
      </c>
      <c r="D61" s="6">
        <v>0</v>
      </c>
      <c r="E61" s="6">
        <v>0</v>
      </c>
      <c r="F61" s="6">
        <v>23</v>
      </c>
      <c r="G61" s="6">
        <v>23</v>
      </c>
      <c r="H61" s="6">
        <v>15</v>
      </c>
      <c r="I61" s="6">
        <v>14</v>
      </c>
      <c r="J61" s="6">
        <v>8</v>
      </c>
      <c r="K61" s="6">
        <v>9</v>
      </c>
      <c r="L61" s="6">
        <v>110.75999999999999</v>
      </c>
      <c r="M61" s="6">
        <v>114.47999999999999</v>
      </c>
      <c r="N61" s="6">
        <v>15</v>
      </c>
      <c r="O61" s="6">
        <v>16</v>
      </c>
      <c r="P61" s="10" t="s">
        <v>250</v>
      </c>
      <c r="Q61" s="10" t="s">
        <v>749</v>
      </c>
      <c r="R61" s="10" t="s">
        <v>251</v>
      </c>
      <c r="S61" s="10" t="s">
        <v>750</v>
      </c>
      <c r="T61" s="637">
        <v>64</v>
      </c>
      <c r="U61" s="637">
        <v>29</v>
      </c>
      <c r="V61" s="290">
        <v>3.9090909090909092</v>
      </c>
      <c r="W61" s="290">
        <v>2.1153846153846154</v>
      </c>
      <c r="X61" s="6">
        <v>6</v>
      </c>
      <c r="Y61" s="6">
        <v>6</v>
      </c>
      <c r="Z61" s="6">
        <v>47</v>
      </c>
      <c r="AA61" s="6">
        <v>46</v>
      </c>
      <c r="AB61" s="6">
        <v>43</v>
      </c>
      <c r="AC61" s="6">
        <v>52</v>
      </c>
      <c r="AD61" s="6">
        <v>51</v>
      </c>
      <c r="AE61" s="6">
        <v>61</v>
      </c>
      <c r="AF61" s="6">
        <v>55</v>
      </c>
      <c r="AG61" s="6">
        <v>62</v>
      </c>
    </row>
    <row r="62" spans="1:33" x14ac:dyDescent="0.2">
      <c r="A62" s="3" t="s">
        <v>252</v>
      </c>
      <c r="B62" s="3" t="s">
        <v>147</v>
      </c>
      <c r="C62" s="5">
        <v>100</v>
      </c>
      <c r="D62" s="5">
        <v>0</v>
      </c>
      <c r="E62" s="5">
        <v>0</v>
      </c>
      <c r="F62" s="5">
        <v>12</v>
      </c>
      <c r="G62" s="5">
        <v>17</v>
      </c>
      <c r="H62" s="5">
        <v>7</v>
      </c>
      <c r="I62" s="5">
        <v>9</v>
      </c>
      <c r="J62" s="5">
        <v>5</v>
      </c>
      <c r="K62" s="5">
        <v>8</v>
      </c>
      <c r="L62" s="5">
        <v>107.03999999999999</v>
      </c>
      <c r="M62" s="5">
        <v>112</v>
      </c>
      <c r="N62" s="5">
        <v>17</v>
      </c>
      <c r="O62" s="5">
        <v>19</v>
      </c>
      <c r="P62" s="9" t="s">
        <v>253</v>
      </c>
      <c r="Q62" s="9" t="s">
        <v>685</v>
      </c>
      <c r="R62" s="9" t="s">
        <v>254</v>
      </c>
      <c r="S62" s="9" t="s">
        <v>686</v>
      </c>
      <c r="T62" s="639">
        <v>41</v>
      </c>
      <c r="U62" s="639">
        <v>28</v>
      </c>
      <c r="V62" s="292">
        <v>2.9523809523809526</v>
      </c>
      <c r="W62" s="292">
        <v>2.8666666666666667</v>
      </c>
      <c r="X62" s="5">
        <v>6</v>
      </c>
      <c r="Y62" s="5">
        <v>7</v>
      </c>
      <c r="Z62" s="5">
        <v>31</v>
      </c>
      <c r="AA62" s="5">
        <v>37</v>
      </c>
      <c r="AB62" s="5">
        <v>22</v>
      </c>
      <c r="AC62" s="5">
        <v>30</v>
      </c>
      <c r="AD62" s="5">
        <v>34</v>
      </c>
      <c r="AE62" s="5">
        <v>34</v>
      </c>
      <c r="AF62" s="5">
        <v>53</v>
      </c>
      <c r="AG62" s="5">
        <v>49</v>
      </c>
    </row>
    <row r="63" spans="1:33" x14ac:dyDescent="0.2">
      <c r="A63" s="3" t="s">
        <v>260</v>
      </c>
      <c r="B63" s="3" t="s">
        <v>147</v>
      </c>
      <c r="C63" s="6">
        <v>64</v>
      </c>
      <c r="D63" s="6">
        <v>1</v>
      </c>
      <c r="E63" s="6">
        <v>5</v>
      </c>
      <c r="F63" s="6">
        <v>24</v>
      </c>
      <c r="G63" s="6">
        <v>28</v>
      </c>
      <c r="H63" s="6">
        <v>13</v>
      </c>
      <c r="I63" s="6">
        <v>15</v>
      </c>
      <c r="J63" s="6">
        <v>11</v>
      </c>
      <c r="K63" s="6">
        <v>13</v>
      </c>
      <c r="L63" s="6">
        <v>120.67999999999999</v>
      </c>
      <c r="M63" s="6">
        <v>120.67999999999999</v>
      </c>
      <c r="N63" s="6">
        <v>16</v>
      </c>
      <c r="O63" s="6">
        <v>16</v>
      </c>
      <c r="P63" s="10" t="s">
        <v>261</v>
      </c>
      <c r="Q63" s="10" t="s">
        <v>678</v>
      </c>
      <c r="R63" s="10" t="s">
        <v>262</v>
      </c>
      <c r="S63" s="10" t="s">
        <v>679</v>
      </c>
      <c r="T63" s="637">
        <v>9</v>
      </c>
      <c r="U63" s="637">
        <v>1</v>
      </c>
      <c r="V63" s="290">
        <v>1.4090909090909092</v>
      </c>
      <c r="W63" s="290">
        <v>1.0454545454545454</v>
      </c>
      <c r="X63" s="6">
        <v>6</v>
      </c>
      <c r="Y63" s="6">
        <v>8</v>
      </c>
      <c r="Z63" s="6">
        <v>49</v>
      </c>
      <c r="AA63" s="6">
        <v>51</v>
      </c>
      <c r="AB63" s="6">
        <v>48</v>
      </c>
      <c r="AC63" s="6">
        <v>52</v>
      </c>
      <c r="AD63" s="6">
        <v>58</v>
      </c>
      <c r="AE63" s="6">
        <v>61</v>
      </c>
      <c r="AF63" s="6">
        <v>59</v>
      </c>
      <c r="AG63" s="6">
        <v>60</v>
      </c>
    </row>
    <row r="64" spans="1:33" x14ac:dyDescent="0.2">
      <c r="A64" s="3" t="s">
        <v>278</v>
      </c>
      <c r="B64" s="3" t="s">
        <v>147</v>
      </c>
      <c r="C64" s="5">
        <v>100</v>
      </c>
      <c r="D64" s="5">
        <v>2</v>
      </c>
      <c r="F64" s="5">
        <v>18</v>
      </c>
      <c r="H64" s="5">
        <v>12</v>
      </c>
      <c r="J64" s="5">
        <v>6</v>
      </c>
      <c r="L64" s="5">
        <v>99.6</v>
      </c>
      <c r="N64" s="5">
        <v>18</v>
      </c>
      <c r="P64" s="9" t="s">
        <v>279</v>
      </c>
      <c r="R64" s="9" t="s">
        <v>280</v>
      </c>
      <c r="T64" s="639">
        <v>28</v>
      </c>
      <c r="U64" s="639"/>
      <c r="V64" s="292">
        <v>1.7179487179487178</v>
      </c>
      <c r="X64" s="5">
        <v>7</v>
      </c>
      <c r="Z64" s="5">
        <v>51</v>
      </c>
      <c r="AB64" s="5">
        <v>40</v>
      </c>
      <c r="AD64" s="5">
        <v>45</v>
      </c>
      <c r="AF64" s="5">
        <v>48</v>
      </c>
    </row>
    <row r="65" spans="1:34" x14ac:dyDescent="0.2">
      <c r="A65" s="3" t="s">
        <v>284</v>
      </c>
      <c r="B65" s="3" t="s">
        <v>285</v>
      </c>
      <c r="C65" s="6">
        <v>100</v>
      </c>
      <c r="D65" s="6">
        <v>6</v>
      </c>
      <c r="E65" s="6">
        <v>6</v>
      </c>
      <c r="F65" s="6">
        <v>20</v>
      </c>
      <c r="G65" s="6">
        <v>27</v>
      </c>
      <c r="H65" s="6">
        <v>15</v>
      </c>
      <c r="I65" s="6">
        <v>14</v>
      </c>
      <c r="J65" s="6">
        <v>5</v>
      </c>
      <c r="K65" s="6">
        <v>13</v>
      </c>
      <c r="L65" s="6">
        <v>121.91999999999999</v>
      </c>
      <c r="M65" s="6">
        <v>125.64</v>
      </c>
      <c r="N65" s="6">
        <v>16</v>
      </c>
      <c r="O65" s="6">
        <v>16</v>
      </c>
      <c r="P65" s="10" t="s">
        <v>286</v>
      </c>
      <c r="Q65" s="10" t="s">
        <v>683</v>
      </c>
      <c r="R65" s="10" t="s">
        <v>287</v>
      </c>
      <c r="S65" s="10" t="s">
        <v>684</v>
      </c>
      <c r="T65" s="637">
        <v>14</v>
      </c>
      <c r="U65" s="637">
        <v>17</v>
      </c>
      <c r="V65" s="290">
        <v>1.56</v>
      </c>
      <c r="W65" s="290">
        <v>1.8947368421052631</v>
      </c>
      <c r="X65" s="6">
        <v>8</v>
      </c>
      <c r="Y65" s="6">
        <v>6</v>
      </c>
      <c r="Z65" s="6">
        <v>61</v>
      </c>
      <c r="AA65" s="6">
        <v>64</v>
      </c>
      <c r="AB65" s="6">
        <v>38</v>
      </c>
      <c r="AC65" s="6">
        <v>53</v>
      </c>
      <c r="AD65" s="6">
        <v>52</v>
      </c>
      <c r="AE65" s="6">
        <v>65</v>
      </c>
      <c r="AF65" s="6">
        <v>52</v>
      </c>
      <c r="AG65" s="6">
        <v>57</v>
      </c>
    </row>
    <row r="66" spans="1:34" x14ac:dyDescent="0.2">
      <c r="A66" s="3" t="s">
        <v>312</v>
      </c>
      <c r="B66" s="3" t="s">
        <v>147</v>
      </c>
      <c r="C66" s="5">
        <v>82</v>
      </c>
      <c r="D66" s="5">
        <v>15</v>
      </c>
      <c r="E66" s="5">
        <v>19</v>
      </c>
      <c r="F66" s="5">
        <v>27</v>
      </c>
      <c r="G66" s="5">
        <v>28</v>
      </c>
      <c r="H66" s="5">
        <v>16</v>
      </c>
      <c r="I66" s="5">
        <v>15</v>
      </c>
      <c r="J66" s="5">
        <v>11</v>
      </c>
      <c r="K66" s="5">
        <v>13</v>
      </c>
      <c r="L66" s="5">
        <v>116.96</v>
      </c>
      <c r="M66" s="5">
        <v>119.44</v>
      </c>
      <c r="N66" s="5">
        <v>15</v>
      </c>
      <c r="O66" s="5">
        <v>15</v>
      </c>
      <c r="P66" s="9" t="s">
        <v>315</v>
      </c>
      <c r="Q66" s="9" t="s">
        <v>729</v>
      </c>
      <c r="R66" s="9" t="s">
        <v>316</v>
      </c>
      <c r="S66" s="9" t="s">
        <v>730</v>
      </c>
      <c r="T66" s="639">
        <v>30</v>
      </c>
      <c r="U66" s="639">
        <v>19</v>
      </c>
      <c r="V66" s="292">
        <v>2.5789473684210527</v>
      </c>
      <c r="W66" s="292">
        <v>1.826086956521739</v>
      </c>
      <c r="X66" s="5">
        <v>6</v>
      </c>
      <c r="Y66" s="5">
        <v>5</v>
      </c>
      <c r="Z66" s="5">
        <v>54</v>
      </c>
      <c r="AA66" s="5">
        <v>51</v>
      </c>
      <c r="AB66" s="5">
        <v>52</v>
      </c>
      <c r="AC66" s="5">
        <v>52</v>
      </c>
      <c r="AD66" s="5">
        <v>54</v>
      </c>
      <c r="AE66" s="5">
        <v>54</v>
      </c>
      <c r="AF66" s="5">
        <v>48</v>
      </c>
      <c r="AG66" s="5">
        <v>48</v>
      </c>
    </row>
    <row r="67" spans="1:34" x14ac:dyDescent="0.2">
      <c r="A67" s="3" t="s">
        <v>320</v>
      </c>
      <c r="B67" s="3" t="s">
        <v>147</v>
      </c>
      <c r="C67" s="6">
        <v>50</v>
      </c>
      <c r="D67" s="6">
        <v>4</v>
      </c>
      <c r="E67" s="6"/>
      <c r="F67" s="6">
        <v>15</v>
      </c>
      <c r="G67" s="6"/>
      <c r="H67" s="6">
        <v>7</v>
      </c>
      <c r="I67" s="6"/>
      <c r="J67" s="6">
        <v>8</v>
      </c>
      <c r="K67" s="6"/>
      <c r="L67" s="145">
        <v>92.16</v>
      </c>
      <c r="M67" s="145"/>
      <c r="N67" s="53">
        <v>18</v>
      </c>
      <c r="O67" s="53"/>
      <c r="P67" s="10" t="s">
        <v>321</v>
      </c>
      <c r="Q67" s="10"/>
      <c r="R67" s="10" t="s">
        <v>322</v>
      </c>
      <c r="S67" s="10"/>
      <c r="T67" s="637">
        <v>38</v>
      </c>
      <c r="U67" s="637"/>
      <c r="V67" s="290">
        <v>3</v>
      </c>
      <c r="W67" s="290"/>
      <c r="X67" s="145">
        <v>5</v>
      </c>
      <c r="Y67" s="145"/>
      <c r="Z67" s="6">
        <v>29</v>
      </c>
      <c r="AA67" s="6"/>
      <c r="AB67" s="6">
        <v>24</v>
      </c>
      <c r="AC67" s="6"/>
      <c r="AD67" s="6">
        <v>39</v>
      </c>
      <c r="AE67" s="6"/>
      <c r="AF67" s="6">
        <v>54</v>
      </c>
      <c r="AG67" s="6"/>
    </row>
    <row r="68" spans="1:34" x14ac:dyDescent="0.2">
      <c r="A68" s="3" t="s">
        <v>323</v>
      </c>
      <c r="B68" s="3" t="s">
        <v>147</v>
      </c>
      <c r="C68" s="5">
        <v>100</v>
      </c>
      <c r="D68" s="5">
        <v>18</v>
      </c>
      <c r="E68" s="5">
        <v>7</v>
      </c>
      <c r="F68" s="5">
        <v>26</v>
      </c>
      <c r="G68" s="5">
        <v>22</v>
      </c>
      <c r="H68" s="5">
        <v>15</v>
      </c>
      <c r="I68" s="5">
        <v>14</v>
      </c>
      <c r="J68" s="5">
        <v>11</v>
      </c>
      <c r="K68" s="5">
        <v>8</v>
      </c>
      <c r="L68" s="5">
        <v>123.16</v>
      </c>
      <c r="M68" s="5">
        <v>121.91999999999999</v>
      </c>
      <c r="N68" s="5">
        <v>18</v>
      </c>
      <c r="P68" s="9" t="s">
        <v>324</v>
      </c>
      <c r="Q68" s="9" t="s">
        <v>745</v>
      </c>
      <c r="R68" s="9" t="s">
        <v>325</v>
      </c>
      <c r="S68" s="9" t="s">
        <v>746</v>
      </c>
      <c r="T68" s="639">
        <v>19</v>
      </c>
      <c r="U68" s="639">
        <v>10</v>
      </c>
      <c r="V68" s="292">
        <v>1.7307692307692308</v>
      </c>
      <c r="W68" s="292">
        <v>1.2702702702702702</v>
      </c>
      <c r="X68" s="5">
        <v>6</v>
      </c>
      <c r="Y68" s="5">
        <v>6</v>
      </c>
      <c r="Z68" s="5">
        <v>49</v>
      </c>
      <c r="AA68" s="5">
        <v>55</v>
      </c>
      <c r="AB68" s="5">
        <v>54</v>
      </c>
      <c r="AC68" s="5">
        <v>65</v>
      </c>
      <c r="AD68" s="5">
        <v>61</v>
      </c>
      <c r="AE68" s="5">
        <v>57</v>
      </c>
      <c r="AF68" s="5">
        <v>60</v>
      </c>
      <c r="AG68" s="5">
        <v>50</v>
      </c>
    </row>
    <row r="69" spans="1:34" x14ac:dyDescent="0.2">
      <c r="A69" s="3" t="s">
        <v>327</v>
      </c>
      <c r="B69" s="3" t="s">
        <v>147</v>
      </c>
      <c r="C69" s="145">
        <v>0</v>
      </c>
      <c r="D69" s="6">
        <v>3</v>
      </c>
      <c r="E69" s="6">
        <v>12</v>
      </c>
      <c r="F69" s="6">
        <v>26</v>
      </c>
      <c r="G69" s="6">
        <v>24</v>
      </c>
      <c r="H69" s="6">
        <v>14</v>
      </c>
      <c r="I69" s="6">
        <v>13</v>
      </c>
      <c r="J69" s="6">
        <v>12</v>
      </c>
      <c r="K69" s="6">
        <v>11</v>
      </c>
      <c r="L69" s="6">
        <v>110.75999999999999</v>
      </c>
      <c r="M69" s="6">
        <v>113.24</v>
      </c>
      <c r="N69" s="6">
        <v>19</v>
      </c>
      <c r="O69" s="6">
        <v>21</v>
      </c>
      <c r="P69" s="10" t="s">
        <v>328</v>
      </c>
      <c r="Q69" s="10" t="s">
        <v>792</v>
      </c>
      <c r="R69" s="10" t="s">
        <v>329</v>
      </c>
      <c r="S69" s="10" t="s">
        <v>793</v>
      </c>
      <c r="T69" s="637">
        <v>32</v>
      </c>
      <c r="U69" s="637">
        <v>50</v>
      </c>
      <c r="V69" s="290">
        <v>2.6</v>
      </c>
      <c r="W69" s="290">
        <v>3.5</v>
      </c>
      <c r="X69" s="6">
        <v>6</v>
      </c>
      <c r="Y69" s="6">
        <v>6</v>
      </c>
      <c r="Z69" s="6">
        <v>40</v>
      </c>
      <c r="AA69" s="6">
        <v>42</v>
      </c>
      <c r="AB69" s="6">
        <v>48</v>
      </c>
      <c r="AC69" s="6">
        <v>49</v>
      </c>
      <c r="AD69" s="6">
        <v>38</v>
      </c>
      <c r="AE69" s="6">
        <v>44</v>
      </c>
      <c r="AF69" s="6">
        <v>40</v>
      </c>
      <c r="AG69" s="6">
        <v>46</v>
      </c>
    </row>
    <row r="70" spans="1:34" x14ac:dyDescent="0.2">
      <c r="A70" s="3" t="s">
        <v>333</v>
      </c>
      <c r="B70" s="3" t="s">
        <v>147</v>
      </c>
      <c r="C70" s="5">
        <v>100</v>
      </c>
      <c r="D70" s="5">
        <v>0</v>
      </c>
      <c r="E70" s="5">
        <v>0</v>
      </c>
      <c r="F70" s="5">
        <v>20</v>
      </c>
      <c r="G70" s="5">
        <v>16</v>
      </c>
      <c r="H70" s="5">
        <v>13</v>
      </c>
      <c r="I70" s="5">
        <v>9</v>
      </c>
      <c r="J70" s="5">
        <v>7</v>
      </c>
      <c r="K70" s="5">
        <v>7</v>
      </c>
      <c r="L70" s="5">
        <v>128.12</v>
      </c>
      <c r="M70" s="5">
        <v>128.12</v>
      </c>
      <c r="N70" s="5">
        <v>16</v>
      </c>
      <c r="O70" s="5">
        <v>16</v>
      </c>
      <c r="P70" s="9" t="s">
        <v>334</v>
      </c>
      <c r="Q70" s="9" t="s">
        <v>740</v>
      </c>
      <c r="R70" s="9" t="s">
        <v>335</v>
      </c>
      <c r="S70" s="9" t="s">
        <v>741</v>
      </c>
      <c r="T70" s="639">
        <v>13</v>
      </c>
      <c r="U70" s="639">
        <v>4</v>
      </c>
      <c r="V70" s="292">
        <v>1.4814814814814814</v>
      </c>
      <c r="W70" s="292">
        <v>1.0930232558139534</v>
      </c>
      <c r="X70" s="5">
        <v>6</v>
      </c>
      <c r="Y70" s="5">
        <v>7</v>
      </c>
      <c r="Z70" s="5">
        <v>46</v>
      </c>
      <c r="AA70" s="5">
        <v>44</v>
      </c>
      <c r="AB70" s="5">
        <v>34</v>
      </c>
      <c r="AC70" s="5">
        <v>35</v>
      </c>
      <c r="AD70" s="5">
        <v>59</v>
      </c>
      <c r="AE70" s="5">
        <v>55</v>
      </c>
      <c r="AF70" s="5">
        <v>62</v>
      </c>
      <c r="AG70" s="5">
        <v>58</v>
      </c>
    </row>
    <row r="71" spans="1:34" x14ac:dyDescent="0.2">
      <c r="A71" s="3" t="s">
        <v>356</v>
      </c>
      <c r="B71" s="3" t="s">
        <v>147</v>
      </c>
      <c r="C71" s="6">
        <v>80</v>
      </c>
      <c r="D71" s="6">
        <v>12</v>
      </c>
      <c r="E71" s="6">
        <v>0</v>
      </c>
      <c r="F71" s="6">
        <v>29</v>
      </c>
      <c r="G71" s="6">
        <v>30</v>
      </c>
      <c r="H71" s="6">
        <v>16</v>
      </c>
      <c r="I71" s="6">
        <v>16</v>
      </c>
      <c r="J71" s="6">
        <v>13</v>
      </c>
      <c r="K71" s="6">
        <v>14</v>
      </c>
      <c r="L71" s="6">
        <v>100.84</v>
      </c>
      <c r="M71" s="6">
        <v>108.28</v>
      </c>
      <c r="N71" s="6">
        <v>16</v>
      </c>
      <c r="O71" s="6">
        <v>18</v>
      </c>
      <c r="P71" s="10" t="s">
        <v>357</v>
      </c>
      <c r="Q71" s="10" t="s">
        <v>769</v>
      </c>
      <c r="R71" s="10" t="s">
        <v>358</v>
      </c>
      <c r="S71" s="10" t="s">
        <v>770</v>
      </c>
      <c r="T71" s="637">
        <v>15</v>
      </c>
      <c r="U71" s="637">
        <v>13</v>
      </c>
      <c r="V71" s="290">
        <v>1.5357142857142858</v>
      </c>
      <c r="W71" s="290">
        <v>1.5652173913043479</v>
      </c>
      <c r="X71" s="6">
        <v>5</v>
      </c>
      <c r="Y71" s="6">
        <v>5</v>
      </c>
      <c r="Z71" s="6">
        <v>50</v>
      </c>
      <c r="AA71" s="6">
        <v>42</v>
      </c>
      <c r="AB71" s="6">
        <v>33</v>
      </c>
      <c r="AC71" s="6">
        <v>27</v>
      </c>
      <c r="AD71" s="6">
        <v>55</v>
      </c>
      <c r="AE71" s="6">
        <v>46</v>
      </c>
      <c r="AF71" s="6">
        <v>64</v>
      </c>
      <c r="AG71" s="6">
        <v>63</v>
      </c>
    </row>
    <row r="72" spans="1:34" x14ac:dyDescent="0.2">
      <c r="A72" s="3" t="s">
        <v>360</v>
      </c>
      <c r="B72" s="3" t="s">
        <v>147</v>
      </c>
      <c r="C72" s="5">
        <v>100</v>
      </c>
      <c r="D72" s="5">
        <v>1</v>
      </c>
      <c r="E72" s="5">
        <v>2</v>
      </c>
      <c r="F72" s="5">
        <v>15</v>
      </c>
      <c r="G72" s="5">
        <v>16</v>
      </c>
      <c r="H72" s="5">
        <v>9</v>
      </c>
      <c r="I72" s="5">
        <v>11</v>
      </c>
      <c r="J72" s="5">
        <v>6</v>
      </c>
      <c r="K72" s="5">
        <v>5</v>
      </c>
      <c r="L72" s="5">
        <v>109.52</v>
      </c>
      <c r="M72" s="5">
        <v>109.52</v>
      </c>
      <c r="N72" s="5">
        <v>17</v>
      </c>
      <c r="O72" s="5">
        <v>19</v>
      </c>
      <c r="P72" s="9" t="s">
        <v>361</v>
      </c>
      <c r="Q72" s="9" t="s">
        <v>744</v>
      </c>
      <c r="R72" s="9" t="s">
        <v>362</v>
      </c>
      <c r="T72" s="639">
        <v>29</v>
      </c>
      <c r="U72" s="639">
        <v>28</v>
      </c>
      <c r="V72" s="292">
        <v>2.6111111111111112</v>
      </c>
      <c r="W72" s="292">
        <v>2.75</v>
      </c>
      <c r="X72" s="5">
        <v>4</v>
      </c>
      <c r="Y72" s="5">
        <v>6</v>
      </c>
      <c r="Z72" s="5">
        <v>51</v>
      </c>
      <c r="AA72" s="5">
        <v>42</v>
      </c>
      <c r="AB72" s="5">
        <v>45</v>
      </c>
      <c r="AC72" s="5">
        <v>41</v>
      </c>
      <c r="AD72" s="5">
        <v>53</v>
      </c>
      <c r="AE72" s="5">
        <v>50</v>
      </c>
      <c r="AF72" s="5">
        <v>56</v>
      </c>
      <c r="AG72" s="5">
        <v>59</v>
      </c>
    </row>
    <row r="73" spans="1:34" x14ac:dyDescent="0.2">
      <c r="A73" s="3" t="s">
        <v>367</v>
      </c>
      <c r="B73" s="3" t="s">
        <v>147</v>
      </c>
      <c r="C73" s="6">
        <v>80</v>
      </c>
      <c r="D73" s="6">
        <v>0</v>
      </c>
      <c r="E73" s="6">
        <v>0</v>
      </c>
      <c r="F73" s="6">
        <v>23</v>
      </c>
      <c r="G73" s="6">
        <v>18</v>
      </c>
      <c r="H73" s="6">
        <v>12</v>
      </c>
      <c r="I73" s="6">
        <v>9</v>
      </c>
      <c r="J73" s="6">
        <v>11</v>
      </c>
      <c r="K73" s="6">
        <v>9</v>
      </c>
      <c r="L73" s="6">
        <v>115.72</v>
      </c>
      <c r="M73" s="6">
        <v>116.96</v>
      </c>
      <c r="N73" s="6">
        <v>13</v>
      </c>
      <c r="O73" s="6">
        <v>13</v>
      </c>
      <c r="P73" s="10" t="s">
        <v>368</v>
      </c>
      <c r="Q73" s="10" t="s">
        <v>755</v>
      </c>
      <c r="R73" s="10" t="s">
        <v>369</v>
      </c>
      <c r="S73" s="10" t="s">
        <v>756</v>
      </c>
      <c r="T73" s="637">
        <v>17</v>
      </c>
      <c r="U73" s="637">
        <v>26</v>
      </c>
      <c r="V73" s="290">
        <v>1.5666666666666667</v>
      </c>
      <c r="W73" s="290">
        <v>2</v>
      </c>
      <c r="X73" s="6">
        <v>6</v>
      </c>
      <c r="Y73" s="6">
        <v>6</v>
      </c>
      <c r="Z73" s="6">
        <v>51</v>
      </c>
      <c r="AA73" s="6">
        <v>49</v>
      </c>
      <c r="AB73" s="6">
        <v>43</v>
      </c>
      <c r="AC73" s="6">
        <v>52</v>
      </c>
      <c r="AD73" s="6">
        <v>41</v>
      </c>
      <c r="AE73" s="6">
        <v>59</v>
      </c>
      <c r="AF73" s="6">
        <v>40</v>
      </c>
      <c r="AG73" s="6">
        <v>53</v>
      </c>
    </row>
    <row r="74" spans="1:34" x14ac:dyDescent="0.2">
      <c r="A74" s="3" t="s">
        <v>377</v>
      </c>
      <c r="B74" s="3" t="s">
        <v>147</v>
      </c>
      <c r="C74" s="57">
        <v>80</v>
      </c>
      <c r="D74" s="57">
        <v>24</v>
      </c>
      <c r="E74" s="57"/>
      <c r="F74" s="57">
        <v>17</v>
      </c>
      <c r="G74" s="57"/>
      <c r="H74" s="57">
        <v>12</v>
      </c>
      <c r="I74" s="57"/>
      <c r="J74" s="57">
        <v>5</v>
      </c>
      <c r="K74" s="57"/>
      <c r="L74" s="57">
        <v>109.52</v>
      </c>
      <c r="M74" s="57"/>
      <c r="N74" s="57">
        <v>18</v>
      </c>
      <c r="O74" s="57"/>
      <c r="P74" s="238" t="s">
        <v>378</v>
      </c>
      <c r="Q74" s="238"/>
      <c r="R74" s="238" t="s">
        <v>379</v>
      </c>
      <c r="S74" s="238"/>
      <c r="T74" s="638">
        <v>33</v>
      </c>
      <c r="U74" s="638"/>
      <c r="V74" s="291">
        <v>2.3199999999999998</v>
      </c>
      <c r="W74" s="291"/>
      <c r="X74" s="57">
        <v>7</v>
      </c>
      <c r="Y74" s="57"/>
      <c r="Z74" s="57">
        <v>57</v>
      </c>
      <c r="AA74" s="57"/>
      <c r="AB74" s="57">
        <v>44</v>
      </c>
      <c r="AC74" s="57"/>
      <c r="AD74" s="57">
        <v>46</v>
      </c>
      <c r="AE74" s="57"/>
      <c r="AF74" s="57">
        <v>48</v>
      </c>
      <c r="AG74" s="57"/>
    </row>
    <row r="75" spans="1:34" x14ac:dyDescent="0.2">
      <c r="A75" s="3" t="s">
        <v>419</v>
      </c>
      <c r="B75" s="3" t="s">
        <v>147</v>
      </c>
      <c r="C75" s="6">
        <v>100</v>
      </c>
      <c r="D75" s="6">
        <v>8</v>
      </c>
      <c r="E75" s="6">
        <v>2</v>
      </c>
      <c r="F75" s="6">
        <v>19</v>
      </c>
      <c r="G75" s="6">
        <v>19</v>
      </c>
      <c r="H75" s="6">
        <v>13</v>
      </c>
      <c r="I75" s="6">
        <v>11</v>
      </c>
      <c r="J75" s="6">
        <v>6</v>
      </c>
      <c r="K75" s="6">
        <v>8</v>
      </c>
      <c r="L75" s="6">
        <v>115.72</v>
      </c>
      <c r="M75" s="6">
        <v>113.24</v>
      </c>
      <c r="N75" s="6">
        <v>16</v>
      </c>
      <c r="O75" s="6">
        <v>17</v>
      </c>
      <c r="P75" s="10" t="s">
        <v>420</v>
      </c>
      <c r="Q75" s="10" t="s">
        <v>759</v>
      </c>
      <c r="R75" s="10" t="s">
        <v>421</v>
      </c>
      <c r="S75" s="10" t="s">
        <v>156</v>
      </c>
      <c r="T75" s="637">
        <v>29</v>
      </c>
      <c r="U75" s="637">
        <v>28</v>
      </c>
      <c r="V75" s="290">
        <v>2</v>
      </c>
      <c r="W75" s="290">
        <v>2.6470588235294117</v>
      </c>
      <c r="X75" s="6">
        <v>6</v>
      </c>
      <c r="Y75" s="6">
        <v>7</v>
      </c>
      <c r="Z75" s="6">
        <v>35</v>
      </c>
      <c r="AA75" s="6">
        <v>33</v>
      </c>
      <c r="AB75" s="6">
        <v>34</v>
      </c>
      <c r="AC75" s="6">
        <v>33</v>
      </c>
      <c r="AD75" s="6">
        <v>43</v>
      </c>
      <c r="AE75" s="6">
        <v>48</v>
      </c>
      <c r="AF75" s="6">
        <v>54</v>
      </c>
      <c r="AG75" s="6">
        <v>60</v>
      </c>
    </row>
    <row r="76" spans="1:34" x14ac:dyDescent="0.2">
      <c r="A76" s="3" t="s">
        <v>424</v>
      </c>
      <c r="B76" s="3" t="s">
        <v>147</v>
      </c>
      <c r="C76" s="5">
        <v>60</v>
      </c>
      <c r="D76" s="5">
        <v>6</v>
      </c>
      <c r="F76" s="5">
        <v>17</v>
      </c>
      <c r="H76" s="5">
        <v>9</v>
      </c>
      <c r="J76" s="5">
        <v>8</v>
      </c>
      <c r="L76" s="5">
        <v>102.08</v>
      </c>
      <c r="N76" s="5">
        <v>16</v>
      </c>
      <c r="P76" s="9" t="s">
        <v>425</v>
      </c>
      <c r="R76" s="9" t="s">
        <v>426</v>
      </c>
      <c r="T76" s="639">
        <v>61</v>
      </c>
      <c r="U76" s="639"/>
      <c r="V76" s="292">
        <v>4.3888888888888893</v>
      </c>
      <c r="X76" s="5">
        <v>6</v>
      </c>
      <c r="Z76" s="5">
        <v>35</v>
      </c>
      <c r="AB76" s="5">
        <v>30</v>
      </c>
      <c r="AD76" s="5">
        <v>43</v>
      </c>
      <c r="AF76" s="5">
        <v>56</v>
      </c>
    </row>
    <row r="77" spans="1:34" x14ac:dyDescent="0.2">
      <c r="A77" s="3" t="s">
        <v>443</v>
      </c>
      <c r="B77" s="3" t="s">
        <v>147</v>
      </c>
      <c r="C77" s="6">
        <v>82</v>
      </c>
      <c r="D77" s="6">
        <v>1</v>
      </c>
      <c r="E77" s="6">
        <v>4</v>
      </c>
      <c r="F77" s="6">
        <v>19</v>
      </c>
      <c r="G77" s="6">
        <v>18</v>
      </c>
      <c r="H77" s="6">
        <v>12</v>
      </c>
      <c r="I77" s="6">
        <v>10</v>
      </c>
      <c r="J77" s="6">
        <v>7</v>
      </c>
      <c r="K77" s="6">
        <v>8</v>
      </c>
      <c r="L77" s="6">
        <v>114.47999999999999</v>
      </c>
      <c r="M77" s="6">
        <v>114.47999999999999</v>
      </c>
      <c r="N77" s="6">
        <v>22</v>
      </c>
      <c r="O77" s="6">
        <v>22</v>
      </c>
      <c r="P77" s="340">
        <v>2.119212962962963E-2</v>
      </c>
      <c r="Q77" s="10" t="s">
        <v>761</v>
      </c>
      <c r="R77" s="10" t="s">
        <v>444</v>
      </c>
      <c r="S77" s="10" t="s">
        <v>760</v>
      </c>
      <c r="T77" s="643">
        <v>32</v>
      </c>
      <c r="U77" s="643">
        <v>32</v>
      </c>
      <c r="V77" s="6">
        <v>2.0666666666666669</v>
      </c>
      <c r="W77" s="6">
        <v>2.2307692307692308</v>
      </c>
      <c r="X77" s="6">
        <v>6</v>
      </c>
      <c r="Y77" s="6">
        <v>6</v>
      </c>
      <c r="Z77" s="6">
        <v>33</v>
      </c>
      <c r="AA77" s="6">
        <v>28</v>
      </c>
      <c r="AB77" s="6">
        <v>34</v>
      </c>
      <c r="AC77" s="6">
        <v>40</v>
      </c>
      <c r="AD77" s="6">
        <v>45</v>
      </c>
      <c r="AE77" s="6">
        <v>39</v>
      </c>
      <c r="AF77" s="6">
        <v>54</v>
      </c>
      <c r="AG77" s="6">
        <v>48</v>
      </c>
    </row>
    <row r="78" spans="1:34" x14ac:dyDescent="0.2">
      <c r="A78" s="3" t="s">
        <v>446</v>
      </c>
      <c r="B78" s="3" t="s">
        <v>147</v>
      </c>
      <c r="C78" s="5">
        <v>100</v>
      </c>
      <c r="D78" s="5">
        <v>0</v>
      </c>
      <c r="E78" s="5">
        <v>2</v>
      </c>
      <c r="F78" s="5">
        <v>14</v>
      </c>
      <c r="G78" s="5">
        <v>18</v>
      </c>
      <c r="H78" s="5">
        <v>7</v>
      </c>
      <c r="I78" s="5">
        <v>11</v>
      </c>
      <c r="J78" s="5">
        <v>7</v>
      </c>
      <c r="K78" s="5">
        <v>7</v>
      </c>
      <c r="L78" s="57">
        <v>90.919999999999987</v>
      </c>
      <c r="M78" s="57">
        <v>95.88</v>
      </c>
      <c r="N78" s="57">
        <v>18</v>
      </c>
      <c r="O78" s="57">
        <v>18</v>
      </c>
      <c r="P78" s="341">
        <v>1.8564814814814815E-2</v>
      </c>
      <c r="Q78" s="9" t="s">
        <v>782</v>
      </c>
      <c r="R78" s="9" t="s">
        <v>448</v>
      </c>
      <c r="S78" s="9" t="s">
        <v>783</v>
      </c>
      <c r="T78" s="639">
        <v>40</v>
      </c>
      <c r="U78" s="639">
        <v>21</v>
      </c>
      <c r="V78" s="292">
        <v>2.5384615384615383</v>
      </c>
      <c r="W78" s="292">
        <v>1.66</v>
      </c>
      <c r="X78" s="5">
        <v>7</v>
      </c>
      <c r="Y78" s="5">
        <v>6</v>
      </c>
      <c r="Z78" s="5">
        <v>31</v>
      </c>
      <c r="AA78" s="5">
        <v>28</v>
      </c>
      <c r="AB78" s="5">
        <v>34</v>
      </c>
      <c r="AC78" s="5">
        <v>41</v>
      </c>
      <c r="AD78" s="5">
        <v>47</v>
      </c>
      <c r="AE78" s="5">
        <v>46</v>
      </c>
      <c r="AF78" s="5">
        <v>56</v>
      </c>
      <c r="AG78" s="5">
        <v>55</v>
      </c>
      <c r="AH78" s="49" t="s">
        <v>447</v>
      </c>
    </row>
    <row r="79" spans="1:34" x14ac:dyDescent="0.2">
      <c r="A79" s="3" t="s">
        <v>465</v>
      </c>
      <c r="B79" s="3" t="s">
        <v>147</v>
      </c>
      <c r="C79" s="6">
        <v>80</v>
      </c>
      <c r="D79" s="6">
        <v>2</v>
      </c>
      <c r="E79" s="6">
        <v>0</v>
      </c>
      <c r="F79" s="6">
        <v>19</v>
      </c>
      <c r="G79" s="6">
        <v>16</v>
      </c>
      <c r="H79" s="6">
        <v>10</v>
      </c>
      <c r="I79" s="6">
        <v>10</v>
      </c>
      <c r="J79" s="6">
        <v>9</v>
      </c>
      <c r="K79" s="6">
        <v>6</v>
      </c>
      <c r="L79" s="6">
        <v>103.32</v>
      </c>
      <c r="M79" s="6">
        <v>109.52</v>
      </c>
      <c r="N79" s="6">
        <v>19</v>
      </c>
      <c r="O79" s="6">
        <v>20</v>
      </c>
      <c r="P79" s="10" t="s">
        <v>463</v>
      </c>
      <c r="Q79" s="10" t="s">
        <v>823</v>
      </c>
      <c r="R79" s="340">
        <v>4.1261574074074069E-2</v>
      </c>
      <c r="S79" s="10" t="s">
        <v>824</v>
      </c>
      <c r="T79" s="643">
        <v>30</v>
      </c>
      <c r="U79" s="643">
        <v>30</v>
      </c>
      <c r="V79" s="6">
        <v>2.0344827586206895</v>
      </c>
      <c r="W79" s="6">
        <v>1.81</v>
      </c>
      <c r="X79" s="6">
        <v>6</v>
      </c>
      <c r="Y79" s="6">
        <v>6</v>
      </c>
      <c r="Z79" s="6">
        <v>57</v>
      </c>
      <c r="AA79" s="6">
        <v>56</v>
      </c>
      <c r="AB79" s="6">
        <v>49</v>
      </c>
      <c r="AC79" s="6">
        <v>52</v>
      </c>
      <c r="AD79" s="6">
        <v>59</v>
      </c>
      <c r="AE79" s="6">
        <v>65</v>
      </c>
      <c r="AF79" s="6">
        <v>57</v>
      </c>
      <c r="AG79" s="6">
        <v>64</v>
      </c>
    </row>
    <row r="80" spans="1:34" x14ac:dyDescent="0.2">
      <c r="A80" s="3" t="s">
        <v>487</v>
      </c>
      <c r="B80" s="3" t="s">
        <v>147</v>
      </c>
      <c r="C80" s="5">
        <v>100</v>
      </c>
      <c r="D80" s="5">
        <v>1</v>
      </c>
      <c r="E80" s="5">
        <v>2</v>
      </c>
      <c r="F80" s="5">
        <v>23</v>
      </c>
      <c r="G80" s="5">
        <v>20</v>
      </c>
      <c r="H80" s="5">
        <v>15</v>
      </c>
      <c r="I80" s="5">
        <v>12</v>
      </c>
      <c r="J80" s="5">
        <v>8</v>
      </c>
      <c r="K80" s="5">
        <v>8</v>
      </c>
      <c r="L80" s="5">
        <v>121.91999999999999</v>
      </c>
      <c r="M80" s="5">
        <v>121.91999999999999</v>
      </c>
      <c r="N80" s="5">
        <v>16</v>
      </c>
      <c r="O80" s="5">
        <v>16</v>
      </c>
      <c r="P80" s="9" t="s">
        <v>488</v>
      </c>
      <c r="Q80" s="9" t="s">
        <v>365</v>
      </c>
      <c r="R80" s="9" t="s">
        <v>489</v>
      </c>
      <c r="S80" s="9" t="s">
        <v>775</v>
      </c>
      <c r="T80" s="639">
        <v>28</v>
      </c>
      <c r="U80" s="639">
        <v>33</v>
      </c>
      <c r="V80" s="292">
        <v>1.9333333333333333</v>
      </c>
      <c r="W80" s="292">
        <v>2.2200000000000002</v>
      </c>
      <c r="X80" s="5">
        <v>6</v>
      </c>
      <c r="Y80" s="5">
        <v>6</v>
      </c>
      <c r="Z80" s="5">
        <v>42</v>
      </c>
      <c r="AA80" s="5">
        <v>30</v>
      </c>
      <c r="AB80" s="5">
        <v>36</v>
      </c>
      <c r="AC80" s="5">
        <v>36</v>
      </c>
      <c r="AD80" s="5">
        <v>50</v>
      </c>
      <c r="AE80" s="5">
        <v>51</v>
      </c>
      <c r="AF80" s="5">
        <v>53</v>
      </c>
      <c r="AG80" s="5">
        <v>57</v>
      </c>
    </row>
    <row r="81" spans="1:33" x14ac:dyDescent="0.2">
      <c r="A81" s="3" t="s">
        <v>490</v>
      </c>
      <c r="B81" s="3" t="s">
        <v>147</v>
      </c>
      <c r="C81" s="6">
        <v>100</v>
      </c>
      <c r="D81" s="6">
        <v>0</v>
      </c>
      <c r="E81" s="6">
        <v>0</v>
      </c>
      <c r="F81" s="6">
        <v>20</v>
      </c>
      <c r="G81" s="6">
        <v>24</v>
      </c>
      <c r="H81" s="6">
        <v>13</v>
      </c>
      <c r="I81" s="6">
        <v>13</v>
      </c>
      <c r="J81" s="6">
        <v>7</v>
      </c>
      <c r="K81" s="6">
        <v>11</v>
      </c>
      <c r="L81" s="6">
        <v>121.91999999999999</v>
      </c>
      <c r="M81" s="6">
        <v>125.64</v>
      </c>
      <c r="N81" s="6">
        <v>19</v>
      </c>
      <c r="O81" s="6">
        <v>21</v>
      </c>
      <c r="P81" s="10" t="s">
        <v>491</v>
      </c>
      <c r="Q81" s="10" t="s">
        <v>780</v>
      </c>
      <c r="R81" s="10" t="s">
        <v>492</v>
      </c>
      <c r="S81" s="10" t="s">
        <v>781</v>
      </c>
      <c r="T81" s="637">
        <v>43</v>
      </c>
      <c r="U81" s="637">
        <v>29</v>
      </c>
      <c r="V81" s="290">
        <v>2.7916666666666665</v>
      </c>
      <c r="W81" s="290">
        <v>2.5299999999999998</v>
      </c>
      <c r="X81" s="6">
        <v>9</v>
      </c>
      <c r="Y81" s="6">
        <v>7</v>
      </c>
      <c r="Z81" s="6">
        <v>42</v>
      </c>
      <c r="AA81" s="6">
        <v>48</v>
      </c>
      <c r="AB81" s="6">
        <v>48</v>
      </c>
      <c r="AC81" s="6">
        <v>51</v>
      </c>
      <c r="AD81" s="6">
        <v>48</v>
      </c>
      <c r="AE81" s="6">
        <v>56</v>
      </c>
      <c r="AF81" s="6">
        <v>51</v>
      </c>
      <c r="AG81" s="6">
        <v>57</v>
      </c>
    </row>
    <row r="82" spans="1:33" x14ac:dyDescent="0.2">
      <c r="A82" s="3" t="s">
        <v>498</v>
      </c>
      <c r="B82" s="3" t="s">
        <v>147</v>
      </c>
      <c r="C82" s="5">
        <v>80</v>
      </c>
      <c r="D82" s="5">
        <v>3</v>
      </c>
      <c r="E82" s="5">
        <v>2</v>
      </c>
      <c r="F82" s="5">
        <v>24</v>
      </c>
      <c r="G82" s="5">
        <v>23</v>
      </c>
      <c r="H82" s="5">
        <v>15</v>
      </c>
      <c r="I82" s="5">
        <v>14</v>
      </c>
      <c r="J82" s="5">
        <v>9</v>
      </c>
      <c r="K82" s="5">
        <v>9</v>
      </c>
      <c r="L82" s="5">
        <v>110.75999999999999</v>
      </c>
      <c r="M82" s="5">
        <v>125.64</v>
      </c>
      <c r="N82" s="5">
        <v>18</v>
      </c>
      <c r="O82" s="5">
        <v>20</v>
      </c>
      <c r="P82" s="9" t="s">
        <v>499</v>
      </c>
      <c r="Q82" s="9" t="s">
        <v>776</v>
      </c>
      <c r="R82" s="9" t="s">
        <v>500</v>
      </c>
      <c r="S82" s="9" t="s">
        <v>777</v>
      </c>
      <c r="T82" s="639">
        <v>21</v>
      </c>
      <c r="U82" s="639">
        <v>20</v>
      </c>
      <c r="V82" s="292">
        <v>1.9545454545454546</v>
      </c>
      <c r="W82" s="292">
        <v>2.0499999999999998</v>
      </c>
      <c r="X82" s="5">
        <v>6</v>
      </c>
      <c r="Y82" s="5">
        <v>6</v>
      </c>
      <c r="Z82" s="5">
        <v>45</v>
      </c>
      <c r="AA82" s="5">
        <v>46</v>
      </c>
      <c r="AB82" s="5">
        <v>39</v>
      </c>
      <c r="AC82" s="5">
        <v>48</v>
      </c>
      <c r="AD82" s="5">
        <v>42</v>
      </c>
      <c r="AE82" s="5">
        <v>55</v>
      </c>
      <c r="AF82" s="5">
        <v>63</v>
      </c>
      <c r="AG82" s="5">
        <v>57</v>
      </c>
    </row>
    <row r="83" spans="1:33" x14ac:dyDescent="0.2">
      <c r="A83" s="3" t="s">
        <v>509</v>
      </c>
      <c r="B83" s="3" t="s">
        <v>147</v>
      </c>
      <c r="C83" s="6">
        <v>100</v>
      </c>
      <c r="D83" s="6">
        <v>0</v>
      </c>
      <c r="E83" s="6">
        <v>0</v>
      </c>
      <c r="F83" s="6">
        <v>23</v>
      </c>
      <c r="G83" s="6">
        <v>29</v>
      </c>
      <c r="H83" s="6">
        <v>15</v>
      </c>
      <c r="I83" s="6">
        <v>16</v>
      </c>
      <c r="J83" s="6">
        <v>8</v>
      </c>
      <c r="K83" s="6">
        <v>13</v>
      </c>
      <c r="L83" s="6">
        <v>115.72</v>
      </c>
      <c r="M83" s="6">
        <v>113.24</v>
      </c>
      <c r="N83" s="6">
        <v>17</v>
      </c>
      <c r="O83" s="6">
        <v>18</v>
      </c>
      <c r="P83" s="10" t="s">
        <v>511</v>
      </c>
      <c r="Q83" s="10" t="s">
        <v>788</v>
      </c>
      <c r="R83" s="10" t="s">
        <v>512</v>
      </c>
      <c r="S83" s="10" t="s">
        <v>789</v>
      </c>
      <c r="T83" s="637">
        <v>16</v>
      </c>
      <c r="U83" s="637">
        <v>21</v>
      </c>
      <c r="V83" s="290">
        <v>1.5517241379310345</v>
      </c>
      <c r="W83" s="290">
        <v>1.75</v>
      </c>
      <c r="X83" s="6">
        <v>6</v>
      </c>
      <c r="Y83" s="6">
        <v>7</v>
      </c>
      <c r="Z83" s="6">
        <v>44</v>
      </c>
      <c r="AA83" s="6">
        <v>42</v>
      </c>
      <c r="AB83" s="6">
        <v>52</v>
      </c>
      <c r="AC83" s="6">
        <v>52</v>
      </c>
      <c r="AD83" s="6">
        <v>53</v>
      </c>
      <c r="AE83" s="6">
        <v>45</v>
      </c>
      <c r="AF83" s="6">
        <v>51</v>
      </c>
      <c r="AG83" s="6">
        <v>44</v>
      </c>
    </row>
    <row r="84" spans="1:33" x14ac:dyDescent="0.2">
      <c r="A84" s="3" t="s">
        <v>513</v>
      </c>
      <c r="B84" s="3" t="s">
        <v>147</v>
      </c>
      <c r="C84" s="5">
        <v>100</v>
      </c>
      <c r="D84" s="5">
        <v>2</v>
      </c>
      <c r="E84" s="5">
        <v>1</v>
      </c>
      <c r="F84" s="5">
        <v>18</v>
      </c>
      <c r="G84" s="5">
        <v>16</v>
      </c>
      <c r="H84" s="5">
        <v>13</v>
      </c>
      <c r="I84" s="5">
        <v>10</v>
      </c>
      <c r="J84" s="5">
        <v>5</v>
      </c>
      <c r="K84" s="5">
        <v>6</v>
      </c>
      <c r="L84" s="5">
        <v>98.359999999999985</v>
      </c>
      <c r="M84" s="5">
        <v>102.08</v>
      </c>
      <c r="N84" s="5">
        <v>21</v>
      </c>
      <c r="O84" s="5">
        <v>21</v>
      </c>
      <c r="P84" s="9" t="s">
        <v>514</v>
      </c>
      <c r="Q84" s="9" t="s">
        <v>771</v>
      </c>
      <c r="R84" s="9" t="s">
        <v>515</v>
      </c>
      <c r="S84" s="9" t="s">
        <v>772</v>
      </c>
      <c r="T84" s="639">
        <v>36</v>
      </c>
      <c r="U84" s="639">
        <v>51</v>
      </c>
      <c r="V84" s="292">
        <v>2.3333333333333335</v>
      </c>
      <c r="W84" s="292">
        <v>2.46</v>
      </c>
      <c r="X84" s="5">
        <v>6</v>
      </c>
      <c r="Y84" s="5">
        <v>6</v>
      </c>
      <c r="Z84" s="5">
        <v>26</v>
      </c>
      <c r="AA84" s="5">
        <v>30</v>
      </c>
      <c r="AB84" s="5">
        <v>37</v>
      </c>
      <c r="AC84" s="5">
        <v>37</v>
      </c>
      <c r="AD84" s="5">
        <v>44</v>
      </c>
      <c r="AE84" s="5">
        <v>36</v>
      </c>
      <c r="AF84" s="5">
        <v>55</v>
      </c>
      <c r="AG84" s="5">
        <v>46</v>
      </c>
    </row>
    <row r="85" spans="1:33" x14ac:dyDescent="0.2">
      <c r="A85" s="3" t="s">
        <v>522</v>
      </c>
      <c r="B85" s="3" t="s">
        <v>147</v>
      </c>
      <c r="C85" s="6">
        <v>80</v>
      </c>
      <c r="D85" s="6">
        <v>6</v>
      </c>
      <c r="E85" s="6"/>
      <c r="F85" s="6">
        <v>20</v>
      </c>
      <c r="G85" s="6"/>
      <c r="H85" s="6">
        <v>12</v>
      </c>
      <c r="I85" s="6"/>
      <c r="J85" s="6">
        <v>8</v>
      </c>
      <c r="K85" s="6"/>
      <c r="L85" s="6">
        <v>114.47999999999999</v>
      </c>
      <c r="M85" s="6"/>
      <c r="N85" s="6">
        <v>17</v>
      </c>
      <c r="O85" s="6"/>
      <c r="P85" s="10" t="s">
        <v>523</v>
      </c>
      <c r="Q85" s="10"/>
      <c r="R85" s="10" t="s">
        <v>524</v>
      </c>
      <c r="S85" s="10"/>
      <c r="T85" s="637">
        <v>34</v>
      </c>
      <c r="U85" s="637"/>
      <c r="V85" s="290">
        <v>2.2592592592592591</v>
      </c>
      <c r="W85" s="290"/>
      <c r="X85" s="6">
        <v>7</v>
      </c>
      <c r="Y85" s="6"/>
      <c r="Z85" s="6">
        <v>42</v>
      </c>
      <c r="AA85" s="6"/>
      <c r="AB85" s="6">
        <v>48</v>
      </c>
      <c r="AC85" s="6"/>
      <c r="AD85" s="6">
        <v>60</v>
      </c>
      <c r="AE85" s="6"/>
      <c r="AF85" s="6">
        <v>66</v>
      </c>
      <c r="AG85" s="6"/>
    </row>
    <row r="86" spans="1:33" x14ac:dyDescent="0.2">
      <c r="A86" s="3" t="s">
        <v>593</v>
      </c>
      <c r="B86" s="3" t="s">
        <v>147</v>
      </c>
      <c r="C86" s="5">
        <v>100</v>
      </c>
      <c r="D86" s="5">
        <v>4</v>
      </c>
      <c r="E86" s="5">
        <v>0</v>
      </c>
      <c r="F86" s="5">
        <v>25</v>
      </c>
      <c r="G86" s="5">
        <v>22</v>
      </c>
      <c r="H86" s="5">
        <v>14</v>
      </c>
      <c r="I86" s="5">
        <v>12</v>
      </c>
      <c r="J86" s="5">
        <v>11</v>
      </c>
      <c r="K86" s="5">
        <v>10</v>
      </c>
      <c r="L86" s="5">
        <v>121.91999999999999</v>
      </c>
      <c r="M86" s="5">
        <v>123.16</v>
      </c>
      <c r="N86" s="5">
        <v>13</v>
      </c>
      <c r="O86" s="5">
        <v>15</v>
      </c>
      <c r="P86" s="9" t="s">
        <v>594</v>
      </c>
      <c r="Q86" s="9" t="s">
        <v>794</v>
      </c>
      <c r="R86" s="9" t="s">
        <v>595</v>
      </c>
      <c r="S86" s="9" t="s">
        <v>795</v>
      </c>
      <c r="T86" s="639">
        <v>18</v>
      </c>
      <c r="U86" s="639">
        <v>16</v>
      </c>
      <c r="V86" s="292">
        <v>1.6923076923076923</v>
      </c>
      <c r="W86" s="292">
        <v>2.23</v>
      </c>
      <c r="X86" s="5">
        <v>6</v>
      </c>
      <c r="Y86" s="5">
        <v>7</v>
      </c>
      <c r="Z86" s="5">
        <v>56</v>
      </c>
      <c r="AA86" s="5">
        <v>56</v>
      </c>
      <c r="AB86" s="5">
        <v>52</v>
      </c>
      <c r="AC86" s="5">
        <v>59</v>
      </c>
      <c r="AD86" s="5">
        <v>63</v>
      </c>
      <c r="AE86" s="5">
        <v>72</v>
      </c>
      <c r="AF86" s="5">
        <v>61</v>
      </c>
      <c r="AG86" s="5">
        <v>69</v>
      </c>
    </row>
    <row r="87" spans="1:33" x14ac:dyDescent="0.2">
      <c r="C87" s="6"/>
      <c r="D87" s="6"/>
      <c r="E87" s="6"/>
      <c r="F87" s="6"/>
      <c r="G87" s="6"/>
      <c r="H87" s="6"/>
      <c r="I87" s="6"/>
      <c r="J87" s="6"/>
      <c r="K87" s="6"/>
      <c r="L87" s="6"/>
      <c r="M87" s="6"/>
      <c r="N87" s="6"/>
      <c r="O87" s="6"/>
      <c r="P87" s="10"/>
      <c r="Q87" s="10"/>
      <c r="R87" s="10"/>
      <c r="S87" s="10"/>
      <c r="T87" s="290"/>
      <c r="U87" s="290"/>
      <c r="V87" s="290"/>
      <c r="W87" s="290"/>
      <c r="X87" s="6"/>
      <c r="Y87" s="6"/>
      <c r="Z87" s="6"/>
      <c r="AA87" s="6"/>
      <c r="AB87" s="6"/>
      <c r="AC87" s="6"/>
      <c r="AD87" s="6"/>
      <c r="AE87" s="6"/>
      <c r="AF87" s="6"/>
      <c r="AG87" s="6"/>
    </row>
    <row r="88" spans="1:33" x14ac:dyDescent="0.2">
      <c r="P88" s="9"/>
    </row>
    <row r="89" spans="1:33" x14ac:dyDescent="0.2">
      <c r="C89" s="6"/>
      <c r="D89" s="6"/>
      <c r="E89" s="6"/>
      <c r="F89" s="6"/>
      <c r="G89" s="6"/>
      <c r="H89" s="6"/>
      <c r="I89" s="6"/>
      <c r="J89" s="6"/>
      <c r="K89" s="6"/>
      <c r="L89" s="6"/>
      <c r="M89" s="6"/>
      <c r="N89" s="6"/>
      <c r="O89" s="6"/>
      <c r="P89" s="10"/>
      <c r="Q89" s="10"/>
      <c r="R89" s="10"/>
      <c r="S89" s="10"/>
      <c r="T89" s="290"/>
      <c r="U89" s="290"/>
      <c r="V89" s="290"/>
      <c r="W89" s="290"/>
      <c r="X89" s="6"/>
      <c r="Y89" s="6"/>
      <c r="Z89" s="6"/>
      <c r="AA89" s="6"/>
      <c r="AB89" s="6"/>
      <c r="AC89" s="6"/>
      <c r="AD89" s="6"/>
      <c r="AE89" s="6"/>
      <c r="AF89" s="6"/>
      <c r="AG89" s="6"/>
    </row>
    <row r="90" spans="1:33" x14ac:dyDescent="0.2">
      <c r="P90" s="9"/>
    </row>
    <row r="91" spans="1:33" x14ac:dyDescent="0.2">
      <c r="C91" s="6"/>
      <c r="D91" s="6"/>
      <c r="E91" s="6"/>
      <c r="F91" s="6"/>
      <c r="G91" s="6"/>
      <c r="H91" s="6"/>
      <c r="I91" s="6"/>
      <c r="J91" s="6"/>
      <c r="K91" s="6"/>
      <c r="L91" s="6"/>
      <c r="M91" s="6"/>
      <c r="N91" s="6"/>
      <c r="O91" s="6"/>
      <c r="P91" s="10"/>
      <c r="Q91" s="10"/>
      <c r="R91" s="10"/>
      <c r="S91" s="10"/>
      <c r="T91" s="290"/>
      <c r="U91" s="290"/>
      <c r="V91" s="290"/>
      <c r="W91" s="290"/>
      <c r="X91" s="6"/>
      <c r="Y91" s="6"/>
      <c r="Z91" s="6"/>
      <c r="AA91" s="6"/>
      <c r="AB91" s="6"/>
      <c r="AC91" s="6"/>
      <c r="AD91" s="6"/>
      <c r="AE91" s="6"/>
      <c r="AF91" s="6"/>
      <c r="AG91" s="6"/>
    </row>
    <row r="92" spans="1:33" x14ac:dyDescent="0.2">
      <c r="P92" s="9"/>
    </row>
    <row r="93" spans="1:33" x14ac:dyDescent="0.2">
      <c r="C93" s="6"/>
      <c r="D93" s="6"/>
      <c r="E93" s="6"/>
      <c r="F93" s="6"/>
      <c r="G93" s="6"/>
      <c r="H93" s="6"/>
      <c r="I93" s="6"/>
      <c r="J93" s="6"/>
      <c r="K93" s="6"/>
      <c r="L93" s="6"/>
      <c r="M93" s="6"/>
      <c r="N93" s="6"/>
      <c r="O93" s="6"/>
      <c r="P93" s="10"/>
      <c r="Q93" s="10"/>
      <c r="R93" s="10"/>
      <c r="S93" s="10"/>
      <c r="T93" s="290"/>
      <c r="U93" s="290"/>
      <c r="V93" s="290"/>
      <c r="W93" s="290"/>
      <c r="X93" s="6"/>
      <c r="Y93" s="6"/>
      <c r="Z93" s="6"/>
      <c r="AA93" s="6"/>
      <c r="AB93" s="6"/>
      <c r="AC93" s="6"/>
      <c r="AD93" s="6"/>
      <c r="AE93" s="6"/>
      <c r="AF93" s="6"/>
      <c r="AG93" s="6"/>
    </row>
    <row r="94" spans="1:33" x14ac:dyDescent="0.2">
      <c r="A94" s="42"/>
      <c r="B94" s="42"/>
      <c r="P94" s="9"/>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AC153"/>
  <sheetViews>
    <sheetView workbookViewId="0">
      <pane ySplit="1" topLeftCell="A2" activePane="bottomLeft" state="frozen"/>
      <selection pane="bottomLeft" activeCell="G71" sqref="G71"/>
    </sheetView>
  </sheetViews>
  <sheetFormatPr baseColWidth="10" defaultColWidth="8.83203125" defaultRowHeight="15" x14ac:dyDescent="0.2"/>
  <cols>
    <col min="1" max="1" width="8.83203125" style="359"/>
    <col min="2" max="2" width="18.6640625" bestFit="1" customWidth="1"/>
    <col min="5" max="5" width="8.83203125" style="359"/>
    <col min="14" max="14" width="4.5" bestFit="1" customWidth="1"/>
    <col min="15" max="15" width="11.5" bestFit="1" customWidth="1"/>
    <col min="16" max="16" width="9.5" bestFit="1" customWidth="1"/>
    <col min="24" max="24" width="8.83203125" style="197"/>
    <col min="25" max="25" width="2" bestFit="1" customWidth="1"/>
    <col min="26" max="26" width="26.5" bestFit="1" customWidth="1"/>
    <col min="27" max="27" width="3" style="197" customWidth="1"/>
    <col min="28" max="28" width="2" bestFit="1" customWidth="1"/>
    <col min="29" max="29" width="8.5" bestFit="1" customWidth="1"/>
    <col min="273" max="273" width="4.5" bestFit="1" customWidth="1"/>
    <col min="275" max="275" width="9.5" bestFit="1" customWidth="1"/>
    <col min="277" max="277" width="2" bestFit="1" customWidth="1"/>
    <col min="278" max="278" width="26.5" bestFit="1" customWidth="1"/>
    <col min="279" max="279" width="3" customWidth="1"/>
    <col min="280" max="280" width="2" bestFit="1" customWidth="1"/>
    <col min="281" max="281" width="8.5" bestFit="1" customWidth="1"/>
    <col min="529" max="529" width="4.5" bestFit="1" customWidth="1"/>
    <col min="531" max="531" width="9.5" bestFit="1" customWidth="1"/>
    <col min="533" max="533" width="2" bestFit="1" customWidth="1"/>
    <col min="534" max="534" width="26.5" bestFit="1" customWidth="1"/>
    <col min="535" max="535" width="3" customWidth="1"/>
    <col min="536" max="536" width="2" bestFit="1" customWidth="1"/>
    <col min="537" max="537" width="8.5" bestFit="1" customWidth="1"/>
    <col min="785" max="785" width="4.5" bestFit="1" customWidth="1"/>
    <col min="787" max="787" width="9.5" bestFit="1" customWidth="1"/>
    <col min="789" max="789" width="2" bestFit="1" customWidth="1"/>
    <col min="790" max="790" width="26.5" bestFit="1" customWidth="1"/>
    <col min="791" max="791" width="3" customWidth="1"/>
    <col min="792" max="792" width="2" bestFit="1" customWidth="1"/>
    <col min="793" max="793" width="8.5" bestFit="1" customWidth="1"/>
    <col min="1041" max="1041" width="4.5" bestFit="1" customWidth="1"/>
    <col min="1043" max="1043" width="9.5" bestFit="1" customWidth="1"/>
    <col min="1045" max="1045" width="2" bestFit="1" customWidth="1"/>
    <col min="1046" max="1046" width="26.5" bestFit="1" customWidth="1"/>
    <col min="1047" max="1047" width="3" customWidth="1"/>
    <col min="1048" max="1048" width="2" bestFit="1" customWidth="1"/>
    <col min="1049" max="1049" width="8.5" bestFit="1" customWidth="1"/>
    <col min="1297" max="1297" width="4.5" bestFit="1" customWidth="1"/>
    <col min="1299" max="1299" width="9.5" bestFit="1" customWidth="1"/>
    <col min="1301" max="1301" width="2" bestFit="1" customWidth="1"/>
    <col min="1302" max="1302" width="26.5" bestFit="1" customWidth="1"/>
    <col min="1303" max="1303" width="3" customWidth="1"/>
    <col min="1304" max="1304" width="2" bestFit="1" customWidth="1"/>
    <col min="1305" max="1305" width="8.5" bestFit="1" customWidth="1"/>
    <col min="1553" max="1553" width="4.5" bestFit="1" customWidth="1"/>
    <col min="1555" max="1555" width="9.5" bestFit="1" customWidth="1"/>
    <col min="1557" max="1557" width="2" bestFit="1" customWidth="1"/>
    <col min="1558" max="1558" width="26.5" bestFit="1" customWidth="1"/>
    <col min="1559" max="1559" width="3" customWidth="1"/>
    <col min="1560" max="1560" width="2" bestFit="1" customWidth="1"/>
    <col min="1561" max="1561" width="8.5" bestFit="1" customWidth="1"/>
    <col min="1809" max="1809" width="4.5" bestFit="1" customWidth="1"/>
    <col min="1811" max="1811" width="9.5" bestFit="1" customWidth="1"/>
    <col min="1813" max="1813" width="2" bestFit="1" customWidth="1"/>
    <col min="1814" max="1814" width="26.5" bestFit="1" customWidth="1"/>
    <col min="1815" max="1815" width="3" customWidth="1"/>
    <col min="1816" max="1816" width="2" bestFit="1" customWidth="1"/>
    <col min="1817" max="1817" width="8.5" bestFit="1" customWidth="1"/>
    <col min="2065" max="2065" width="4.5" bestFit="1" customWidth="1"/>
    <col min="2067" max="2067" width="9.5" bestFit="1" customWidth="1"/>
    <col min="2069" max="2069" width="2" bestFit="1" customWidth="1"/>
    <col min="2070" max="2070" width="26.5" bestFit="1" customWidth="1"/>
    <col min="2071" max="2071" width="3" customWidth="1"/>
    <col min="2072" max="2072" width="2" bestFit="1" customWidth="1"/>
    <col min="2073" max="2073" width="8.5" bestFit="1" customWidth="1"/>
    <col min="2321" max="2321" width="4.5" bestFit="1" customWidth="1"/>
    <col min="2323" max="2323" width="9.5" bestFit="1" customWidth="1"/>
    <col min="2325" max="2325" width="2" bestFit="1" customWidth="1"/>
    <col min="2326" max="2326" width="26.5" bestFit="1" customWidth="1"/>
    <col min="2327" max="2327" width="3" customWidth="1"/>
    <col min="2328" max="2328" width="2" bestFit="1" customWidth="1"/>
    <col min="2329" max="2329" width="8.5" bestFit="1" customWidth="1"/>
    <col min="2577" max="2577" width="4.5" bestFit="1" customWidth="1"/>
    <col min="2579" max="2579" width="9.5" bestFit="1" customWidth="1"/>
    <col min="2581" max="2581" width="2" bestFit="1" customWidth="1"/>
    <col min="2582" max="2582" width="26.5" bestFit="1" customWidth="1"/>
    <col min="2583" max="2583" width="3" customWidth="1"/>
    <col min="2584" max="2584" width="2" bestFit="1" customWidth="1"/>
    <col min="2585" max="2585" width="8.5" bestFit="1" customWidth="1"/>
    <col min="2833" max="2833" width="4.5" bestFit="1" customWidth="1"/>
    <col min="2835" max="2835" width="9.5" bestFit="1" customWidth="1"/>
    <col min="2837" max="2837" width="2" bestFit="1" customWidth="1"/>
    <col min="2838" max="2838" width="26.5" bestFit="1" customWidth="1"/>
    <col min="2839" max="2839" width="3" customWidth="1"/>
    <col min="2840" max="2840" width="2" bestFit="1" customWidth="1"/>
    <col min="2841" max="2841" width="8.5" bestFit="1" customWidth="1"/>
    <col min="3089" max="3089" width="4.5" bestFit="1" customWidth="1"/>
    <col min="3091" max="3091" width="9.5" bestFit="1" customWidth="1"/>
    <col min="3093" max="3093" width="2" bestFit="1" customWidth="1"/>
    <col min="3094" max="3094" width="26.5" bestFit="1" customWidth="1"/>
    <col min="3095" max="3095" width="3" customWidth="1"/>
    <col min="3096" max="3096" width="2" bestFit="1" customWidth="1"/>
    <col min="3097" max="3097" width="8.5" bestFit="1" customWidth="1"/>
    <col min="3345" max="3345" width="4.5" bestFit="1" customWidth="1"/>
    <col min="3347" max="3347" width="9.5" bestFit="1" customWidth="1"/>
    <col min="3349" max="3349" width="2" bestFit="1" customWidth="1"/>
    <col min="3350" max="3350" width="26.5" bestFit="1" customWidth="1"/>
    <col min="3351" max="3351" width="3" customWidth="1"/>
    <col min="3352" max="3352" width="2" bestFit="1" customWidth="1"/>
    <col min="3353" max="3353" width="8.5" bestFit="1" customWidth="1"/>
    <col min="3601" max="3601" width="4.5" bestFit="1" customWidth="1"/>
    <col min="3603" max="3603" width="9.5" bestFit="1" customWidth="1"/>
    <col min="3605" max="3605" width="2" bestFit="1" customWidth="1"/>
    <col min="3606" max="3606" width="26.5" bestFit="1" customWidth="1"/>
    <col min="3607" max="3607" width="3" customWidth="1"/>
    <col min="3608" max="3608" width="2" bestFit="1" customWidth="1"/>
    <col min="3609" max="3609" width="8.5" bestFit="1" customWidth="1"/>
    <col min="3857" max="3857" width="4.5" bestFit="1" customWidth="1"/>
    <col min="3859" max="3859" width="9.5" bestFit="1" customWidth="1"/>
    <col min="3861" max="3861" width="2" bestFit="1" customWidth="1"/>
    <col min="3862" max="3862" width="26.5" bestFit="1" customWidth="1"/>
    <col min="3863" max="3863" width="3" customWidth="1"/>
    <col min="3864" max="3864" width="2" bestFit="1" customWidth="1"/>
    <col min="3865" max="3865" width="8.5" bestFit="1" customWidth="1"/>
    <col min="4113" max="4113" width="4.5" bestFit="1" customWidth="1"/>
    <col min="4115" max="4115" width="9.5" bestFit="1" customWidth="1"/>
    <col min="4117" max="4117" width="2" bestFit="1" customWidth="1"/>
    <col min="4118" max="4118" width="26.5" bestFit="1" customWidth="1"/>
    <col min="4119" max="4119" width="3" customWidth="1"/>
    <col min="4120" max="4120" width="2" bestFit="1" customWidth="1"/>
    <col min="4121" max="4121" width="8.5" bestFit="1" customWidth="1"/>
    <col min="4369" max="4369" width="4.5" bestFit="1" customWidth="1"/>
    <col min="4371" max="4371" width="9.5" bestFit="1" customWidth="1"/>
    <col min="4373" max="4373" width="2" bestFit="1" customWidth="1"/>
    <col min="4374" max="4374" width="26.5" bestFit="1" customWidth="1"/>
    <col min="4375" max="4375" width="3" customWidth="1"/>
    <col min="4376" max="4376" width="2" bestFit="1" customWidth="1"/>
    <col min="4377" max="4377" width="8.5" bestFit="1" customWidth="1"/>
    <col min="4625" max="4625" width="4.5" bestFit="1" customWidth="1"/>
    <col min="4627" max="4627" width="9.5" bestFit="1" customWidth="1"/>
    <col min="4629" max="4629" width="2" bestFit="1" customWidth="1"/>
    <col min="4630" max="4630" width="26.5" bestFit="1" customWidth="1"/>
    <col min="4631" max="4631" width="3" customWidth="1"/>
    <col min="4632" max="4632" width="2" bestFit="1" customWidth="1"/>
    <col min="4633" max="4633" width="8.5" bestFit="1" customWidth="1"/>
    <col min="4881" max="4881" width="4.5" bestFit="1" customWidth="1"/>
    <col min="4883" max="4883" width="9.5" bestFit="1" customWidth="1"/>
    <col min="4885" max="4885" width="2" bestFit="1" customWidth="1"/>
    <col min="4886" max="4886" width="26.5" bestFit="1" customWidth="1"/>
    <col min="4887" max="4887" width="3" customWidth="1"/>
    <col min="4888" max="4888" width="2" bestFit="1" customWidth="1"/>
    <col min="4889" max="4889" width="8.5" bestFit="1" customWidth="1"/>
    <col min="5137" max="5137" width="4.5" bestFit="1" customWidth="1"/>
    <col min="5139" max="5139" width="9.5" bestFit="1" customWidth="1"/>
    <col min="5141" max="5141" width="2" bestFit="1" customWidth="1"/>
    <col min="5142" max="5142" width="26.5" bestFit="1" customWidth="1"/>
    <col min="5143" max="5143" width="3" customWidth="1"/>
    <col min="5144" max="5144" width="2" bestFit="1" customWidth="1"/>
    <col min="5145" max="5145" width="8.5" bestFit="1" customWidth="1"/>
    <col min="5393" max="5393" width="4.5" bestFit="1" customWidth="1"/>
    <col min="5395" max="5395" width="9.5" bestFit="1" customWidth="1"/>
    <col min="5397" max="5397" width="2" bestFit="1" customWidth="1"/>
    <col min="5398" max="5398" width="26.5" bestFit="1" customWidth="1"/>
    <col min="5399" max="5399" width="3" customWidth="1"/>
    <col min="5400" max="5400" width="2" bestFit="1" customWidth="1"/>
    <col min="5401" max="5401" width="8.5" bestFit="1" customWidth="1"/>
    <col min="5649" max="5649" width="4.5" bestFit="1" customWidth="1"/>
    <col min="5651" max="5651" width="9.5" bestFit="1" customWidth="1"/>
    <col min="5653" max="5653" width="2" bestFit="1" customWidth="1"/>
    <col min="5654" max="5654" width="26.5" bestFit="1" customWidth="1"/>
    <col min="5655" max="5655" width="3" customWidth="1"/>
    <col min="5656" max="5656" width="2" bestFit="1" customWidth="1"/>
    <col min="5657" max="5657" width="8.5" bestFit="1" customWidth="1"/>
    <col min="5905" max="5905" width="4.5" bestFit="1" customWidth="1"/>
    <col min="5907" max="5907" width="9.5" bestFit="1" customWidth="1"/>
    <col min="5909" max="5909" width="2" bestFit="1" customWidth="1"/>
    <col min="5910" max="5910" width="26.5" bestFit="1" customWidth="1"/>
    <col min="5911" max="5911" width="3" customWidth="1"/>
    <col min="5912" max="5912" width="2" bestFit="1" customWidth="1"/>
    <col min="5913" max="5913" width="8.5" bestFit="1" customWidth="1"/>
    <col min="6161" max="6161" width="4.5" bestFit="1" customWidth="1"/>
    <col min="6163" max="6163" width="9.5" bestFit="1" customWidth="1"/>
    <col min="6165" max="6165" width="2" bestFit="1" customWidth="1"/>
    <col min="6166" max="6166" width="26.5" bestFit="1" customWidth="1"/>
    <col min="6167" max="6167" width="3" customWidth="1"/>
    <col min="6168" max="6168" width="2" bestFit="1" customWidth="1"/>
    <col min="6169" max="6169" width="8.5" bestFit="1" customWidth="1"/>
    <col min="6417" max="6417" width="4.5" bestFit="1" customWidth="1"/>
    <col min="6419" max="6419" width="9.5" bestFit="1" customWidth="1"/>
    <col min="6421" max="6421" width="2" bestFit="1" customWidth="1"/>
    <col min="6422" max="6422" width="26.5" bestFit="1" customWidth="1"/>
    <col min="6423" max="6423" width="3" customWidth="1"/>
    <col min="6424" max="6424" width="2" bestFit="1" customWidth="1"/>
    <col min="6425" max="6425" width="8.5" bestFit="1" customWidth="1"/>
    <col min="6673" max="6673" width="4.5" bestFit="1" customWidth="1"/>
    <col min="6675" max="6675" width="9.5" bestFit="1" customWidth="1"/>
    <col min="6677" max="6677" width="2" bestFit="1" customWidth="1"/>
    <col min="6678" max="6678" width="26.5" bestFit="1" customWidth="1"/>
    <col min="6679" max="6679" width="3" customWidth="1"/>
    <col min="6680" max="6680" width="2" bestFit="1" customWidth="1"/>
    <col min="6681" max="6681" width="8.5" bestFit="1" customWidth="1"/>
    <col min="6929" max="6929" width="4.5" bestFit="1" customWidth="1"/>
    <col min="6931" max="6931" width="9.5" bestFit="1" customWidth="1"/>
    <col min="6933" max="6933" width="2" bestFit="1" customWidth="1"/>
    <col min="6934" max="6934" width="26.5" bestFit="1" customWidth="1"/>
    <col min="6935" max="6935" width="3" customWidth="1"/>
    <col min="6936" max="6936" width="2" bestFit="1" customWidth="1"/>
    <col min="6937" max="6937" width="8.5" bestFit="1" customWidth="1"/>
    <col min="7185" max="7185" width="4.5" bestFit="1" customWidth="1"/>
    <col min="7187" max="7187" width="9.5" bestFit="1" customWidth="1"/>
    <col min="7189" max="7189" width="2" bestFit="1" customWidth="1"/>
    <col min="7190" max="7190" width="26.5" bestFit="1" customWidth="1"/>
    <col min="7191" max="7191" width="3" customWidth="1"/>
    <col min="7192" max="7192" width="2" bestFit="1" customWidth="1"/>
    <col min="7193" max="7193" width="8.5" bestFit="1" customWidth="1"/>
    <col min="7441" max="7441" width="4.5" bestFit="1" customWidth="1"/>
    <col min="7443" max="7443" width="9.5" bestFit="1" customWidth="1"/>
    <col min="7445" max="7445" width="2" bestFit="1" customWidth="1"/>
    <col min="7446" max="7446" width="26.5" bestFit="1" customWidth="1"/>
    <col min="7447" max="7447" width="3" customWidth="1"/>
    <col min="7448" max="7448" width="2" bestFit="1" customWidth="1"/>
    <col min="7449" max="7449" width="8.5" bestFit="1" customWidth="1"/>
    <col min="7697" max="7697" width="4.5" bestFit="1" customWidth="1"/>
    <col min="7699" max="7699" width="9.5" bestFit="1" customWidth="1"/>
    <col min="7701" max="7701" width="2" bestFit="1" customWidth="1"/>
    <col min="7702" max="7702" width="26.5" bestFit="1" customWidth="1"/>
    <col min="7703" max="7703" width="3" customWidth="1"/>
    <col min="7704" max="7704" width="2" bestFit="1" customWidth="1"/>
    <col min="7705" max="7705" width="8.5" bestFit="1" customWidth="1"/>
    <col min="7953" max="7953" width="4.5" bestFit="1" customWidth="1"/>
    <col min="7955" max="7955" width="9.5" bestFit="1" customWidth="1"/>
    <col min="7957" max="7957" width="2" bestFit="1" customWidth="1"/>
    <col min="7958" max="7958" width="26.5" bestFit="1" customWidth="1"/>
    <col min="7959" max="7959" width="3" customWidth="1"/>
    <col min="7960" max="7960" width="2" bestFit="1" customWidth="1"/>
    <col min="7961" max="7961" width="8.5" bestFit="1" customWidth="1"/>
    <col min="8209" max="8209" width="4.5" bestFit="1" customWidth="1"/>
    <col min="8211" max="8211" width="9.5" bestFit="1" customWidth="1"/>
    <col min="8213" max="8213" width="2" bestFit="1" customWidth="1"/>
    <col min="8214" max="8214" width="26.5" bestFit="1" customWidth="1"/>
    <col min="8215" max="8215" width="3" customWidth="1"/>
    <col min="8216" max="8216" width="2" bestFit="1" customWidth="1"/>
    <col min="8217" max="8217" width="8.5" bestFit="1" customWidth="1"/>
    <col min="8465" max="8465" width="4.5" bestFit="1" customWidth="1"/>
    <col min="8467" max="8467" width="9.5" bestFit="1" customWidth="1"/>
    <col min="8469" max="8469" width="2" bestFit="1" customWidth="1"/>
    <col min="8470" max="8470" width="26.5" bestFit="1" customWidth="1"/>
    <col min="8471" max="8471" width="3" customWidth="1"/>
    <col min="8472" max="8472" width="2" bestFit="1" customWidth="1"/>
    <col min="8473" max="8473" width="8.5" bestFit="1" customWidth="1"/>
    <col min="8721" max="8721" width="4.5" bestFit="1" customWidth="1"/>
    <col min="8723" max="8723" width="9.5" bestFit="1" customWidth="1"/>
    <col min="8725" max="8725" width="2" bestFit="1" customWidth="1"/>
    <col min="8726" max="8726" width="26.5" bestFit="1" customWidth="1"/>
    <col min="8727" max="8727" width="3" customWidth="1"/>
    <col min="8728" max="8728" width="2" bestFit="1" customWidth="1"/>
    <col min="8729" max="8729" width="8.5" bestFit="1" customWidth="1"/>
    <col min="8977" max="8977" width="4.5" bestFit="1" customWidth="1"/>
    <col min="8979" max="8979" width="9.5" bestFit="1" customWidth="1"/>
    <col min="8981" max="8981" width="2" bestFit="1" customWidth="1"/>
    <col min="8982" max="8982" width="26.5" bestFit="1" customWidth="1"/>
    <col min="8983" max="8983" width="3" customWidth="1"/>
    <col min="8984" max="8984" width="2" bestFit="1" customWidth="1"/>
    <col min="8985" max="8985" width="8.5" bestFit="1" customWidth="1"/>
    <col min="9233" max="9233" width="4.5" bestFit="1" customWidth="1"/>
    <col min="9235" max="9235" width="9.5" bestFit="1" customWidth="1"/>
    <col min="9237" max="9237" width="2" bestFit="1" customWidth="1"/>
    <col min="9238" max="9238" width="26.5" bestFit="1" customWidth="1"/>
    <col min="9239" max="9239" width="3" customWidth="1"/>
    <col min="9240" max="9240" width="2" bestFit="1" customWidth="1"/>
    <col min="9241" max="9241" width="8.5" bestFit="1" customWidth="1"/>
    <col min="9489" max="9489" width="4.5" bestFit="1" customWidth="1"/>
    <col min="9491" max="9491" width="9.5" bestFit="1" customWidth="1"/>
    <col min="9493" max="9493" width="2" bestFit="1" customWidth="1"/>
    <col min="9494" max="9494" width="26.5" bestFit="1" customWidth="1"/>
    <col min="9495" max="9495" width="3" customWidth="1"/>
    <col min="9496" max="9496" width="2" bestFit="1" customWidth="1"/>
    <col min="9497" max="9497" width="8.5" bestFit="1" customWidth="1"/>
    <col min="9745" max="9745" width="4.5" bestFit="1" customWidth="1"/>
    <col min="9747" max="9747" width="9.5" bestFit="1" customWidth="1"/>
    <col min="9749" max="9749" width="2" bestFit="1" customWidth="1"/>
    <col min="9750" max="9750" width="26.5" bestFit="1" customWidth="1"/>
    <col min="9751" max="9751" width="3" customWidth="1"/>
    <col min="9752" max="9752" width="2" bestFit="1" customWidth="1"/>
    <col min="9753" max="9753" width="8.5" bestFit="1" customWidth="1"/>
    <col min="10001" max="10001" width="4.5" bestFit="1" customWidth="1"/>
    <col min="10003" max="10003" width="9.5" bestFit="1" customWidth="1"/>
    <col min="10005" max="10005" width="2" bestFit="1" customWidth="1"/>
    <col min="10006" max="10006" width="26.5" bestFit="1" customWidth="1"/>
    <col min="10007" max="10007" width="3" customWidth="1"/>
    <col min="10008" max="10008" width="2" bestFit="1" customWidth="1"/>
    <col min="10009" max="10009" width="8.5" bestFit="1" customWidth="1"/>
    <col min="10257" max="10257" width="4.5" bestFit="1" customWidth="1"/>
    <col min="10259" max="10259" width="9.5" bestFit="1" customWidth="1"/>
    <col min="10261" max="10261" width="2" bestFit="1" customWidth="1"/>
    <col min="10262" max="10262" width="26.5" bestFit="1" customWidth="1"/>
    <col min="10263" max="10263" width="3" customWidth="1"/>
    <col min="10264" max="10264" width="2" bestFit="1" customWidth="1"/>
    <col min="10265" max="10265" width="8.5" bestFit="1" customWidth="1"/>
    <col min="10513" max="10513" width="4.5" bestFit="1" customWidth="1"/>
    <col min="10515" max="10515" width="9.5" bestFit="1" customWidth="1"/>
    <col min="10517" max="10517" width="2" bestFit="1" customWidth="1"/>
    <col min="10518" max="10518" width="26.5" bestFit="1" customWidth="1"/>
    <col min="10519" max="10519" width="3" customWidth="1"/>
    <col min="10520" max="10520" width="2" bestFit="1" customWidth="1"/>
    <col min="10521" max="10521" width="8.5" bestFit="1" customWidth="1"/>
    <col min="10769" max="10769" width="4.5" bestFit="1" customWidth="1"/>
    <col min="10771" max="10771" width="9.5" bestFit="1" customWidth="1"/>
    <col min="10773" max="10773" width="2" bestFit="1" customWidth="1"/>
    <col min="10774" max="10774" width="26.5" bestFit="1" customWidth="1"/>
    <col min="10775" max="10775" width="3" customWidth="1"/>
    <col min="10776" max="10776" width="2" bestFit="1" customWidth="1"/>
    <col min="10777" max="10777" width="8.5" bestFit="1" customWidth="1"/>
    <col min="11025" max="11025" width="4.5" bestFit="1" customWidth="1"/>
    <col min="11027" max="11027" width="9.5" bestFit="1" customWidth="1"/>
    <col min="11029" max="11029" width="2" bestFit="1" customWidth="1"/>
    <col min="11030" max="11030" width="26.5" bestFit="1" customWidth="1"/>
    <col min="11031" max="11031" width="3" customWidth="1"/>
    <col min="11032" max="11032" width="2" bestFit="1" customWidth="1"/>
    <col min="11033" max="11033" width="8.5" bestFit="1" customWidth="1"/>
    <col min="11281" max="11281" width="4.5" bestFit="1" customWidth="1"/>
    <col min="11283" max="11283" width="9.5" bestFit="1" customWidth="1"/>
    <col min="11285" max="11285" width="2" bestFit="1" customWidth="1"/>
    <col min="11286" max="11286" width="26.5" bestFit="1" customWidth="1"/>
    <col min="11287" max="11287" width="3" customWidth="1"/>
    <col min="11288" max="11288" width="2" bestFit="1" customWidth="1"/>
    <col min="11289" max="11289" width="8.5" bestFit="1" customWidth="1"/>
    <col min="11537" max="11537" width="4.5" bestFit="1" customWidth="1"/>
    <col min="11539" max="11539" width="9.5" bestFit="1" customWidth="1"/>
    <col min="11541" max="11541" width="2" bestFit="1" customWidth="1"/>
    <col min="11542" max="11542" width="26.5" bestFit="1" customWidth="1"/>
    <col min="11543" max="11543" width="3" customWidth="1"/>
    <col min="11544" max="11544" width="2" bestFit="1" customWidth="1"/>
    <col min="11545" max="11545" width="8.5" bestFit="1" customWidth="1"/>
    <col min="11793" max="11793" width="4.5" bestFit="1" customWidth="1"/>
    <col min="11795" max="11795" width="9.5" bestFit="1" customWidth="1"/>
    <col min="11797" max="11797" width="2" bestFit="1" customWidth="1"/>
    <col min="11798" max="11798" width="26.5" bestFit="1" customWidth="1"/>
    <col min="11799" max="11799" width="3" customWidth="1"/>
    <col min="11800" max="11800" width="2" bestFit="1" customWidth="1"/>
    <col min="11801" max="11801" width="8.5" bestFit="1" customWidth="1"/>
    <col min="12049" max="12049" width="4.5" bestFit="1" customWidth="1"/>
    <col min="12051" max="12051" width="9.5" bestFit="1" customWidth="1"/>
    <col min="12053" max="12053" width="2" bestFit="1" customWidth="1"/>
    <col min="12054" max="12054" width="26.5" bestFit="1" customWidth="1"/>
    <col min="12055" max="12055" width="3" customWidth="1"/>
    <col min="12056" max="12056" width="2" bestFit="1" customWidth="1"/>
    <col min="12057" max="12057" width="8.5" bestFit="1" customWidth="1"/>
    <col min="12305" max="12305" width="4.5" bestFit="1" customWidth="1"/>
    <col min="12307" max="12307" width="9.5" bestFit="1" customWidth="1"/>
    <col min="12309" max="12309" width="2" bestFit="1" customWidth="1"/>
    <col min="12310" max="12310" width="26.5" bestFit="1" customWidth="1"/>
    <col min="12311" max="12311" width="3" customWidth="1"/>
    <col min="12312" max="12312" width="2" bestFit="1" customWidth="1"/>
    <col min="12313" max="12313" width="8.5" bestFit="1" customWidth="1"/>
    <col min="12561" max="12561" width="4.5" bestFit="1" customWidth="1"/>
    <col min="12563" max="12563" width="9.5" bestFit="1" customWidth="1"/>
    <col min="12565" max="12565" width="2" bestFit="1" customWidth="1"/>
    <col min="12566" max="12566" width="26.5" bestFit="1" customWidth="1"/>
    <col min="12567" max="12567" width="3" customWidth="1"/>
    <col min="12568" max="12568" width="2" bestFit="1" customWidth="1"/>
    <col min="12569" max="12569" width="8.5" bestFit="1" customWidth="1"/>
    <col min="12817" max="12817" width="4.5" bestFit="1" customWidth="1"/>
    <col min="12819" max="12819" width="9.5" bestFit="1" customWidth="1"/>
    <col min="12821" max="12821" width="2" bestFit="1" customWidth="1"/>
    <col min="12822" max="12822" width="26.5" bestFit="1" customWidth="1"/>
    <col min="12823" max="12823" width="3" customWidth="1"/>
    <col min="12824" max="12824" width="2" bestFit="1" customWidth="1"/>
    <col min="12825" max="12825" width="8.5" bestFit="1" customWidth="1"/>
    <col min="13073" max="13073" width="4.5" bestFit="1" customWidth="1"/>
    <col min="13075" max="13075" width="9.5" bestFit="1" customWidth="1"/>
    <col min="13077" max="13077" width="2" bestFit="1" customWidth="1"/>
    <col min="13078" max="13078" width="26.5" bestFit="1" customWidth="1"/>
    <col min="13079" max="13079" width="3" customWidth="1"/>
    <col min="13080" max="13080" width="2" bestFit="1" customWidth="1"/>
    <col min="13081" max="13081" width="8.5" bestFit="1" customWidth="1"/>
    <col min="13329" max="13329" width="4.5" bestFit="1" customWidth="1"/>
    <col min="13331" max="13331" width="9.5" bestFit="1" customWidth="1"/>
    <col min="13333" max="13333" width="2" bestFit="1" customWidth="1"/>
    <col min="13334" max="13334" width="26.5" bestFit="1" customWidth="1"/>
    <col min="13335" max="13335" width="3" customWidth="1"/>
    <col min="13336" max="13336" width="2" bestFit="1" customWidth="1"/>
    <col min="13337" max="13337" width="8.5" bestFit="1" customWidth="1"/>
    <col min="13585" max="13585" width="4.5" bestFit="1" customWidth="1"/>
    <col min="13587" max="13587" width="9.5" bestFit="1" customWidth="1"/>
    <col min="13589" max="13589" width="2" bestFit="1" customWidth="1"/>
    <col min="13590" max="13590" width="26.5" bestFit="1" customWidth="1"/>
    <col min="13591" max="13591" width="3" customWidth="1"/>
    <col min="13592" max="13592" width="2" bestFit="1" customWidth="1"/>
    <col min="13593" max="13593" width="8.5" bestFit="1" customWidth="1"/>
    <col min="13841" max="13841" width="4.5" bestFit="1" customWidth="1"/>
    <col min="13843" max="13843" width="9.5" bestFit="1" customWidth="1"/>
    <col min="13845" max="13845" width="2" bestFit="1" customWidth="1"/>
    <col min="13846" max="13846" width="26.5" bestFit="1" customWidth="1"/>
    <col min="13847" max="13847" width="3" customWidth="1"/>
    <col min="13848" max="13848" width="2" bestFit="1" customWidth="1"/>
    <col min="13849" max="13849" width="8.5" bestFit="1" customWidth="1"/>
    <col min="14097" max="14097" width="4.5" bestFit="1" customWidth="1"/>
    <col min="14099" max="14099" width="9.5" bestFit="1" customWidth="1"/>
    <col min="14101" max="14101" width="2" bestFit="1" customWidth="1"/>
    <col min="14102" max="14102" width="26.5" bestFit="1" customWidth="1"/>
    <col min="14103" max="14103" width="3" customWidth="1"/>
    <col min="14104" max="14104" width="2" bestFit="1" customWidth="1"/>
    <col min="14105" max="14105" width="8.5" bestFit="1" customWidth="1"/>
    <col min="14353" max="14353" width="4.5" bestFit="1" customWidth="1"/>
    <col min="14355" max="14355" width="9.5" bestFit="1" customWidth="1"/>
    <col min="14357" max="14357" width="2" bestFit="1" customWidth="1"/>
    <col min="14358" max="14358" width="26.5" bestFit="1" customWidth="1"/>
    <col min="14359" max="14359" width="3" customWidth="1"/>
    <col min="14360" max="14360" width="2" bestFit="1" customWidth="1"/>
    <col min="14361" max="14361" width="8.5" bestFit="1" customWidth="1"/>
    <col min="14609" max="14609" width="4.5" bestFit="1" customWidth="1"/>
    <col min="14611" max="14611" width="9.5" bestFit="1" customWidth="1"/>
    <col min="14613" max="14613" width="2" bestFit="1" customWidth="1"/>
    <col min="14614" max="14614" width="26.5" bestFit="1" customWidth="1"/>
    <col min="14615" max="14615" width="3" customWidth="1"/>
    <col min="14616" max="14616" width="2" bestFit="1" customWidth="1"/>
    <col min="14617" max="14617" width="8.5" bestFit="1" customWidth="1"/>
    <col min="14865" max="14865" width="4.5" bestFit="1" customWidth="1"/>
    <col min="14867" max="14867" width="9.5" bestFit="1" customWidth="1"/>
    <col min="14869" max="14869" width="2" bestFit="1" customWidth="1"/>
    <col min="14870" max="14870" width="26.5" bestFit="1" customWidth="1"/>
    <col min="14871" max="14871" width="3" customWidth="1"/>
    <col min="14872" max="14872" width="2" bestFit="1" customWidth="1"/>
    <col min="14873" max="14873" width="8.5" bestFit="1" customWidth="1"/>
    <col min="15121" max="15121" width="4.5" bestFit="1" customWidth="1"/>
    <col min="15123" max="15123" width="9.5" bestFit="1" customWidth="1"/>
    <col min="15125" max="15125" width="2" bestFit="1" customWidth="1"/>
    <col min="15126" max="15126" width="26.5" bestFit="1" customWidth="1"/>
    <col min="15127" max="15127" width="3" customWidth="1"/>
    <col min="15128" max="15128" width="2" bestFit="1" customWidth="1"/>
    <col min="15129" max="15129" width="8.5" bestFit="1" customWidth="1"/>
    <col min="15377" max="15377" width="4.5" bestFit="1" customWidth="1"/>
    <col min="15379" max="15379" width="9.5" bestFit="1" customWidth="1"/>
    <col min="15381" max="15381" width="2" bestFit="1" customWidth="1"/>
    <col min="15382" max="15382" width="26.5" bestFit="1" customWidth="1"/>
    <col min="15383" max="15383" width="3" customWidth="1"/>
    <col min="15384" max="15384" width="2" bestFit="1" customWidth="1"/>
    <col min="15385" max="15385" width="8.5" bestFit="1" customWidth="1"/>
    <col min="15633" max="15633" width="4.5" bestFit="1" customWidth="1"/>
    <col min="15635" max="15635" width="9.5" bestFit="1" customWidth="1"/>
    <col min="15637" max="15637" width="2" bestFit="1" customWidth="1"/>
    <col min="15638" max="15638" width="26.5" bestFit="1" customWidth="1"/>
    <col min="15639" max="15639" width="3" customWidth="1"/>
    <col min="15640" max="15640" width="2" bestFit="1" customWidth="1"/>
    <col min="15641" max="15641" width="8.5" bestFit="1" customWidth="1"/>
    <col min="15889" max="15889" width="4.5" bestFit="1" customWidth="1"/>
    <col min="15891" max="15891" width="9.5" bestFit="1" customWidth="1"/>
    <col min="15893" max="15893" width="2" bestFit="1" customWidth="1"/>
    <col min="15894" max="15894" width="26.5" bestFit="1" customWidth="1"/>
    <col min="15895" max="15895" width="3" customWidth="1"/>
    <col min="15896" max="15896" width="2" bestFit="1" customWidth="1"/>
    <col min="15897" max="15897" width="8.5" bestFit="1" customWidth="1"/>
    <col min="16145" max="16145" width="4.5" bestFit="1" customWidth="1"/>
    <col min="16147" max="16147" width="9.5" bestFit="1" customWidth="1"/>
    <col min="16149" max="16149" width="2" bestFit="1" customWidth="1"/>
    <col min="16150" max="16150" width="26.5" bestFit="1" customWidth="1"/>
    <col min="16151" max="16151" width="3" customWidth="1"/>
    <col min="16152" max="16152" width="2" bestFit="1" customWidth="1"/>
    <col min="16153" max="16153" width="8.5" bestFit="1" customWidth="1"/>
  </cols>
  <sheetData>
    <row r="1" spans="1:29" x14ac:dyDescent="0.2">
      <c r="A1" s="476" t="s">
        <v>225</v>
      </c>
      <c r="B1" s="195"/>
      <c r="C1" s="195"/>
      <c r="D1" s="195"/>
      <c r="E1" s="476" t="s">
        <v>225</v>
      </c>
      <c r="F1" s="195"/>
      <c r="G1" s="195"/>
      <c r="H1" s="195"/>
      <c r="I1" s="195"/>
      <c r="J1" s="195"/>
      <c r="K1" s="195"/>
      <c r="L1" s="195"/>
      <c r="M1" s="195" t="s">
        <v>226</v>
      </c>
      <c r="N1" s="195" t="s">
        <v>227</v>
      </c>
      <c r="O1" s="195" t="s">
        <v>228</v>
      </c>
      <c r="P1" s="195" t="s">
        <v>229</v>
      </c>
      <c r="Q1" s="195" t="s">
        <v>230</v>
      </c>
      <c r="R1" s="195"/>
      <c r="S1" s="195" t="s">
        <v>226</v>
      </c>
      <c r="T1" s="195" t="s">
        <v>227</v>
      </c>
      <c r="U1" s="195" t="s">
        <v>228</v>
      </c>
      <c r="V1" s="195" t="s">
        <v>229</v>
      </c>
      <c r="W1" s="195" t="s">
        <v>230</v>
      </c>
      <c r="X1" s="196"/>
      <c r="Y1" s="697" t="s">
        <v>228</v>
      </c>
      <c r="Z1" s="697"/>
      <c r="AA1" s="199"/>
      <c r="AB1" s="697" t="s">
        <v>226</v>
      </c>
      <c r="AC1" s="697"/>
    </row>
    <row r="2" spans="1:29" x14ac:dyDescent="0.2">
      <c r="A2" s="477" t="s">
        <v>35</v>
      </c>
      <c r="B2" s="475" t="s">
        <v>625</v>
      </c>
      <c r="C2" s="475" t="s">
        <v>230</v>
      </c>
      <c r="D2" s="475"/>
      <c r="E2" s="477" t="s">
        <v>35</v>
      </c>
      <c r="F2" s="475" t="s">
        <v>625</v>
      </c>
      <c r="G2" s="475" t="s">
        <v>230</v>
      </c>
      <c r="H2" s="475"/>
      <c r="I2" s="475"/>
      <c r="J2" s="475"/>
      <c r="K2" s="475"/>
      <c r="L2" s="475"/>
      <c r="N2" s="192"/>
      <c r="W2" s="194">
        <f t="shared" ref="W2:W11" si="0">SUM(123.7-(0.8*V2)+(3.8*U2)-(7.4*S2))</f>
        <v>123.7</v>
      </c>
      <c r="Y2">
        <v>1</v>
      </c>
      <c r="Z2" t="s">
        <v>231</v>
      </c>
      <c r="AB2">
        <v>1</v>
      </c>
      <c r="AC2" t="s">
        <v>232</v>
      </c>
    </row>
    <row r="3" spans="1:29" x14ac:dyDescent="0.2">
      <c r="A3" s="359" t="s">
        <v>43</v>
      </c>
      <c r="B3">
        <v>15</v>
      </c>
      <c r="C3">
        <f>130.6-(1.24*B3)</f>
        <v>112</v>
      </c>
      <c r="E3" s="359" t="s">
        <v>43</v>
      </c>
      <c r="G3">
        <f>130.6-(1.24*F3)</f>
        <v>130.6</v>
      </c>
      <c r="M3">
        <v>2</v>
      </c>
      <c r="N3">
        <v>53</v>
      </c>
      <c r="O3">
        <v>3</v>
      </c>
      <c r="P3">
        <v>15</v>
      </c>
      <c r="Q3" s="194">
        <f t="shared" ref="Q3:Q72" si="1">SUM(123.7-(0.8*P3)+(3.8*O3)-(7.4*M3))</f>
        <v>108.3</v>
      </c>
      <c r="R3" s="194"/>
      <c r="W3" s="194">
        <f t="shared" si="0"/>
        <v>123.7</v>
      </c>
      <c r="X3" s="198"/>
      <c r="Y3">
        <v>2</v>
      </c>
      <c r="Z3" t="s">
        <v>233</v>
      </c>
      <c r="AB3">
        <v>2</v>
      </c>
      <c r="AC3" t="s">
        <v>234</v>
      </c>
    </row>
    <row r="4" spans="1:29" x14ac:dyDescent="0.2">
      <c r="A4" s="359" t="s">
        <v>44</v>
      </c>
      <c r="B4">
        <v>31</v>
      </c>
      <c r="C4">
        <f t="shared" ref="C4:C67" si="2">130.6-(1.24*B4)</f>
        <v>92.16</v>
      </c>
      <c r="E4" s="359" t="s">
        <v>44</v>
      </c>
      <c r="F4">
        <v>26</v>
      </c>
      <c r="G4">
        <f t="shared" ref="G4:G67" si="3">130.6-(1.24*F4)</f>
        <v>98.359999999999985</v>
      </c>
      <c r="M4">
        <v>2</v>
      </c>
      <c r="N4">
        <v>24</v>
      </c>
      <c r="O4">
        <v>2</v>
      </c>
      <c r="P4">
        <v>31</v>
      </c>
      <c r="Q4" s="194">
        <f t="shared" si="1"/>
        <v>91.7</v>
      </c>
      <c r="R4" s="194"/>
      <c r="W4" s="194">
        <f t="shared" si="0"/>
        <v>123.7</v>
      </c>
      <c r="X4" s="198"/>
      <c r="Y4">
        <v>3</v>
      </c>
      <c r="Z4" t="s">
        <v>235</v>
      </c>
    </row>
    <row r="5" spans="1:29" x14ac:dyDescent="0.2">
      <c r="A5" s="359" t="s">
        <v>45</v>
      </c>
      <c r="B5">
        <v>22</v>
      </c>
      <c r="C5">
        <f t="shared" si="2"/>
        <v>103.32</v>
      </c>
      <c r="E5" s="359" t="s">
        <v>45</v>
      </c>
      <c r="F5">
        <v>27</v>
      </c>
      <c r="G5">
        <f t="shared" si="3"/>
        <v>97.12</v>
      </c>
      <c r="M5">
        <v>1</v>
      </c>
      <c r="N5">
        <v>26</v>
      </c>
      <c r="O5">
        <v>5</v>
      </c>
      <c r="P5">
        <v>22</v>
      </c>
      <c r="Q5" s="194">
        <f t="shared" si="1"/>
        <v>117.69999999999999</v>
      </c>
      <c r="R5" s="194"/>
      <c r="W5" s="194">
        <f t="shared" si="0"/>
        <v>123.7</v>
      </c>
      <c r="X5" s="198"/>
      <c r="Y5">
        <v>4</v>
      </c>
      <c r="Z5" t="s">
        <v>236</v>
      </c>
    </row>
    <row r="6" spans="1:29" x14ac:dyDescent="0.2">
      <c r="A6" s="359" t="s">
        <v>46</v>
      </c>
      <c r="B6">
        <v>16</v>
      </c>
      <c r="C6">
        <f t="shared" si="2"/>
        <v>110.75999999999999</v>
      </c>
      <c r="E6" s="359" t="s">
        <v>46</v>
      </c>
      <c r="F6">
        <v>15</v>
      </c>
      <c r="G6">
        <f t="shared" si="3"/>
        <v>112</v>
      </c>
      <c r="M6">
        <v>1</v>
      </c>
      <c r="N6">
        <v>23</v>
      </c>
      <c r="O6">
        <v>4</v>
      </c>
      <c r="P6">
        <v>16</v>
      </c>
      <c r="Q6" s="194">
        <f t="shared" si="1"/>
        <v>118.7</v>
      </c>
      <c r="R6" s="194"/>
      <c r="S6">
        <v>1</v>
      </c>
      <c r="T6">
        <v>25</v>
      </c>
      <c r="U6">
        <v>5</v>
      </c>
      <c r="V6">
        <v>15</v>
      </c>
      <c r="W6" s="194">
        <f t="shared" si="0"/>
        <v>123.29999999999998</v>
      </c>
      <c r="X6" s="198">
        <f>128-(0.83*V6)</f>
        <v>115.55</v>
      </c>
      <c r="Y6">
        <v>5</v>
      </c>
      <c r="Z6" t="s">
        <v>237</v>
      </c>
    </row>
    <row r="7" spans="1:29" x14ac:dyDescent="0.2">
      <c r="A7" s="359" t="s">
        <v>97</v>
      </c>
      <c r="B7">
        <v>29</v>
      </c>
      <c r="C7">
        <f t="shared" si="2"/>
        <v>94.639999999999986</v>
      </c>
      <c r="E7" s="359" t="s">
        <v>97</v>
      </c>
      <c r="F7">
        <v>29</v>
      </c>
      <c r="G7">
        <f t="shared" si="3"/>
        <v>94.639999999999986</v>
      </c>
      <c r="M7">
        <v>1</v>
      </c>
      <c r="N7">
        <v>22</v>
      </c>
      <c r="O7">
        <v>5</v>
      </c>
      <c r="P7">
        <v>29</v>
      </c>
      <c r="Q7" s="194">
        <f t="shared" si="1"/>
        <v>112.1</v>
      </c>
      <c r="R7" s="194"/>
      <c r="W7" s="194">
        <f t="shared" si="0"/>
        <v>123.7</v>
      </c>
      <c r="X7" s="198"/>
    </row>
    <row r="8" spans="1:29" x14ac:dyDescent="0.2">
      <c r="A8" s="359" t="s">
        <v>99</v>
      </c>
      <c r="B8">
        <v>16</v>
      </c>
      <c r="C8">
        <f t="shared" si="2"/>
        <v>110.75999999999999</v>
      </c>
      <c r="E8" s="359" t="s">
        <v>99</v>
      </c>
      <c r="G8">
        <f t="shared" si="3"/>
        <v>130.6</v>
      </c>
      <c r="M8">
        <v>1</v>
      </c>
      <c r="N8">
        <v>39</v>
      </c>
      <c r="O8">
        <v>5</v>
      </c>
      <c r="P8">
        <v>16</v>
      </c>
      <c r="Q8" s="194">
        <f t="shared" si="1"/>
        <v>122.5</v>
      </c>
      <c r="R8" s="194"/>
      <c r="W8" s="194">
        <f t="shared" si="0"/>
        <v>123.7</v>
      </c>
      <c r="X8" s="198"/>
    </row>
    <row r="9" spans="1:29" x14ac:dyDescent="0.2">
      <c r="A9" s="359" t="s">
        <v>108</v>
      </c>
      <c r="B9">
        <v>21</v>
      </c>
      <c r="C9">
        <f t="shared" si="2"/>
        <v>104.56</v>
      </c>
      <c r="E9" s="359" t="s">
        <v>108</v>
      </c>
      <c r="F9">
        <v>18</v>
      </c>
      <c r="G9">
        <f t="shared" si="3"/>
        <v>108.28</v>
      </c>
      <c r="M9">
        <v>2</v>
      </c>
      <c r="N9">
        <v>24</v>
      </c>
      <c r="O9">
        <v>5</v>
      </c>
      <c r="P9">
        <v>21</v>
      </c>
      <c r="Q9" s="194">
        <f t="shared" si="1"/>
        <v>111.10000000000001</v>
      </c>
      <c r="R9" s="194"/>
      <c r="W9" s="194">
        <f t="shared" si="0"/>
        <v>123.7</v>
      </c>
      <c r="X9" s="198"/>
    </row>
    <row r="10" spans="1:29" x14ac:dyDescent="0.2">
      <c r="A10" s="359" t="s">
        <v>109</v>
      </c>
      <c r="B10">
        <v>25</v>
      </c>
      <c r="C10">
        <f t="shared" si="2"/>
        <v>99.6</v>
      </c>
      <c r="E10" s="359" t="s">
        <v>109</v>
      </c>
      <c r="G10">
        <f t="shared" si="3"/>
        <v>130.6</v>
      </c>
      <c r="M10">
        <v>1</v>
      </c>
      <c r="N10">
        <v>50</v>
      </c>
      <c r="O10">
        <v>2</v>
      </c>
      <c r="P10">
        <v>25</v>
      </c>
      <c r="Q10" s="194">
        <f t="shared" si="1"/>
        <v>103.89999999999999</v>
      </c>
      <c r="R10" s="194"/>
      <c r="W10" s="194">
        <f t="shared" si="0"/>
        <v>123.7</v>
      </c>
      <c r="X10" s="198"/>
    </row>
    <row r="11" spans="1:29" x14ac:dyDescent="0.2">
      <c r="A11" s="359" t="s">
        <v>110</v>
      </c>
      <c r="B11">
        <v>26</v>
      </c>
      <c r="C11">
        <f t="shared" si="2"/>
        <v>98.359999999999985</v>
      </c>
      <c r="E11" s="359" t="s">
        <v>110</v>
      </c>
      <c r="F11">
        <v>21</v>
      </c>
      <c r="G11">
        <f t="shared" si="3"/>
        <v>104.56</v>
      </c>
      <c r="M11">
        <v>2</v>
      </c>
      <c r="N11">
        <v>49</v>
      </c>
      <c r="O11">
        <v>5</v>
      </c>
      <c r="P11">
        <v>26</v>
      </c>
      <c r="Q11" s="194">
        <f t="shared" si="1"/>
        <v>107.10000000000001</v>
      </c>
      <c r="R11" s="194"/>
      <c r="W11" s="194">
        <f t="shared" si="0"/>
        <v>123.7</v>
      </c>
      <c r="X11" s="198"/>
    </row>
    <row r="12" spans="1:29" x14ac:dyDescent="0.2">
      <c r="A12" s="359" t="s">
        <v>111</v>
      </c>
      <c r="B12">
        <v>15</v>
      </c>
      <c r="C12">
        <f t="shared" si="2"/>
        <v>112</v>
      </c>
      <c r="E12" s="359" t="s">
        <v>111</v>
      </c>
      <c r="F12">
        <v>13</v>
      </c>
      <c r="G12">
        <f t="shared" si="3"/>
        <v>114.47999999999999</v>
      </c>
      <c r="M12">
        <v>1</v>
      </c>
      <c r="N12">
        <v>31</v>
      </c>
      <c r="O12">
        <v>4</v>
      </c>
      <c r="P12">
        <v>15</v>
      </c>
      <c r="Q12" s="194">
        <f t="shared" si="1"/>
        <v>119.5</v>
      </c>
      <c r="R12" s="194"/>
      <c r="S12" s="198"/>
      <c r="W12" s="194"/>
      <c r="X12" s="198"/>
    </row>
    <row r="13" spans="1:29" x14ac:dyDescent="0.2">
      <c r="A13" s="359">
        <v>54.12</v>
      </c>
      <c r="B13" s="198" t="s">
        <v>263</v>
      </c>
      <c r="E13" s="359">
        <v>54.12</v>
      </c>
      <c r="F13">
        <v>15</v>
      </c>
      <c r="G13">
        <f t="shared" si="3"/>
        <v>112</v>
      </c>
      <c r="Q13" s="194"/>
      <c r="R13" s="194"/>
      <c r="W13" s="194">
        <f t="shared" ref="W13:W40" si="4">SUM(123.7-(0.8*V13)+(3.8*U13)-(7.4*S13))</f>
        <v>123.7</v>
      </c>
    </row>
    <row r="14" spans="1:29" x14ac:dyDescent="0.2">
      <c r="A14" s="359">
        <v>54.13</v>
      </c>
      <c r="B14">
        <v>20</v>
      </c>
      <c r="C14">
        <f t="shared" si="2"/>
        <v>105.8</v>
      </c>
      <c r="E14" s="359">
        <v>54.13</v>
      </c>
      <c r="F14">
        <v>15</v>
      </c>
      <c r="G14">
        <f t="shared" si="3"/>
        <v>112</v>
      </c>
      <c r="M14">
        <v>2</v>
      </c>
      <c r="N14">
        <v>43</v>
      </c>
      <c r="O14">
        <v>2</v>
      </c>
      <c r="P14">
        <v>20</v>
      </c>
      <c r="Q14" s="194">
        <f t="shared" si="1"/>
        <v>100.5</v>
      </c>
      <c r="R14" s="194"/>
      <c r="W14" s="194">
        <f t="shared" si="4"/>
        <v>123.7</v>
      </c>
      <c r="X14" s="198"/>
    </row>
    <row r="15" spans="1:29" x14ac:dyDescent="0.2">
      <c r="A15" s="359">
        <v>54.14</v>
      </c>
      <c r="B15">
        <v>40</v>
      </c>
      <c r="C15">
        <f t="shared" si="2"/>
        <v>81</v>
      </c>
      <c r="E15" s="359">
        <v>54.14</v>
      </c>
      <c r="F15">
        <v>39</v>
      </c>
      <c r="G15">
        <f t="shared" si="3"/>
        <v>82.24</v>
      </c>
      <c r="M15">
        <v>1</v>
      </c>
      <c r="N15">
        <v>30</v>
      </c>
      <c r="O15">
        <v>2</v>
      </c>
      <c r="P15">
        <v>40</v>
      </c>
      <c r="Q15" s="194">
        <f t="shared" si="1"/>
        <v>91.899999999999991</v>
      </c>
      <c r="R15" s="194"/>
      <c r="W15" s="194">
        <f t="shared" si="4"/>
        <v>123.7</v>
      </c>
      <c r="X15" s="198"/>
    </row>
    <row r="16" spans="1:29" x14ac:dyDescent="0.2">
      <c r="A16" s="359">
        <v>54.15</v>
      </c>
      <c r="B16">
        <v>29</v>
      </c>
      <c r="C16">
        <f t="shared" si="2"/>
        <v>94.639999999999986</v>
      </c>
      <c r="E16" s="359">
        <v>54.15</v>
      </c>
      <c r="F16">
        <v>23</v>
      </c>
      <c r="G16">
        <f t="shared" si="3"/>
        <v>102.08</v>
      </c>
      <c r="M16">
        <v>1</v>
      </c>
      <c r="N16">
        <v>32</v>
      </c>
      <c r="O16">
        <v>5</v>
      </c>
      <c r="P16">
        <v>29</v>
      </c>
      <c r="Q16" s="194">
        <f t="shared" si="1"/>
        <v>112.1</v>
      </c>
      <c r="R16" s="194"/>
      <c r="W16" s="194">
        <f t="shared" si="4"/>
        <v>123.7</v>
      </c>
      <c r="X16" s="198"/>
    </row>
    <row r="17" spans="1:24" x14ac:dyDescent="0.2">
      <c r="A17" s="359">
        <v>54.16</v>
      </c>
      <c r="B17">
        <v>41</v>
      </c>
      <c r="C17">
        <f t="shared" si="2"/>
        <v>79.759999999999991</v>
      </c>
      <c r="E17" s="359">
        <v>54.16</v>
      </c>
      <c r="F17">
        <v>31</v>
      </c>
      <c r="G17">
        <f t="shared" si="3"/>
        <v>92.16</v>
      </c>
      <c r="M17">
        <v>1</v>
      </c>
      <c r="N17">
        <v>37</v>
      </c>
      <c r="O17">
        <v>2</v>
      </c>
      <c r="P17">
        <v>41</v>
      </c>
      <c r="Q17" s="194">
        <f t="shared" si="1"/>
        <v>91.1</v>
      </c>
      <c r="R17" s="194"/>
      <c r="W17" s="194">
        <f t="shared" si="4"/>
        <v>123.7</v>
      </c>
      <c r="X17" s="198"/>
    </row>
    <row r="18" spans="1:24" x14ac:dyDescent="0.2">
      <c r="A18" s="359">
        <v>54.17</v>
      </c>
      <c r="B18">
        <v>13</v>
      </c>
      <c r="C18">
        <f t="shared" si="2"/>
        <v>114.47999999999999</v>
      </c>
      <c r="E18" s="359">
        <v>54.17</v>
      </c>
      <c r="F18">
        <v>10</v>
      </c>
      <c r="G18">
        <f t="shared" si="3"/>
        <v>118.19999999999999</v>
      </c>
      <c r="M18">
        <v>1</v>
      </c>
      <c r="N18">
        <v>44</v>
      </c>
      <c r="O18">
        <v>2</v>
      </c>
      <c r="P18">
        <v>13</v>
      </c>
      <c r="Q18" s="194">
        <f t="shared" si="1"/>
        <v>113.49999999999999</v>
      </c>
      <c r="R18" s="194"/>
      <c r="W18" s="194">
        <f t="shared" si="4"/>
        <v>123.7</v>
      </c>
      <c r="X18" s="198"/>
    </row>
    <row r="19" spans="1:24" x14ac:dyDescent="0.2">
      <c r="A19" s="359">
        <v>54.18</v>
      </c>
      <c r="B19">
        <v>22</v>
      </c>
      <c r="C19">
        <f t="shared" si="2"/>
        <v>103.32</v>
      </c>
      <c r="E19" s="359">
        <v>54.18</v>
      </c>
      <c r="G19">
        <f t="shared" si="3"/>
        <v>130.6</v>
      </c>
      <c r="M19">
        <v>1</v>
      </c>
      <c r="N19">
        <v>36</v>
      </c>
      <c r="O19">
        <v>2</v>
      </c>
      <c r="P19">
        <v>22</v>
      </c>
      <c r="Q19" s="194">
        <f t="shared" si="1"/>
        <v>106.29999999999998</v>
      </c>
      <c r="R19" s="194"/>
      <c r="W19" s="194">
        <f t="shared" si="4"/>
        <v>123.7</v>
      </c>
      <c r="X19" s="198"/>
    </row>
    <row r="20" spans="1:24" x14ac:dyDescent="0.2">
      <c r="A20" s="359">
        <v>54.19</v>
      </c>
      <c r="B20">
        <v>16</v>
      </c>
      <c r="C20">
        <f t="shared" si="2"/>
        <v>110.75999999999999</v>
      </c>
      <c r="E20" s="359">
        <v>54.19</v>
      </c>
      <c r="F20">
        <v>13</v>
      </c>
      <c r="G20">
        <f t="shared" si="3"/>
        <v>114.47999999999999</v>
      </c>
      <c r="M20">
        <v>1</v>
      </c>
      <c r="N20">
        <v>26</v>
      </c>
      <c r="O20">
        <v>4</v>
      </c>
      <c r="P20">
        <v>16</v>
      </c>
      <c r="Q20" s="194">
        <f t="shared" si="1"/>
        <v>118.7</v>
      </c>
      <c r="R20" s="194"/>
      <c r="W20" s="194">
        <f t="shared" si="4"/>
        <v>123.7</v>
      </c>
      <c r="X20" s="198"/>
    </row>
    <row r="21" spans="1:24" x14ac:dyDescent="0.2">
      <c r="A21" s="359">
        <v>54.2</v>
      </c>
      <c r="B21">
        <v>12</v>
      </c>
      <c r="C21">
        <f t="shared" si="2"/>
        <v>115.72</v>
      </c>
      <c r="E21" s="359">
        <v>54.2</v>
      </c>
      <c r="F21">
        <v>9</v>
      </c>
      <c r="G21">
        <f t="shared" si="3"/>
        <v>119.44</v>
      </c>
      <c r="M21">
        <v>2</v>
      </c>
      <c r="N21">
        <v>52</v>
      </c>
      <c r="O21">
        <v>5</v>
      </c>
      <c r="P21">
        <v>12</v>
      </c>
      <c r="Q21" s="194">
        <f t="shared" si="1"/>
        <v>118.3</v>
      </c>
      <c r="R21" s="194"/>
      <c r="W21" s="194">
        <f t="shared" si="4"/>
        <v>123.7</v>
      </c>
      <c r="X21" s="198"/>
    </row>
    <row r="22" spans="1:24" x14ac:dyDescent="0.2">
      <c r="A22" s="359">
        <v>54.21</v>
      </c>
      <c r="B22">
        <v>13</v>
      </c>
      <c r="C22">
        <f t="shared" si="2"/>
        <v>114.47999999999999</v>
      </c>
      <c r="E22" s="359">
        <v>54.21</v>
      </c>
      <c r="F22">
        <v>11</v>
      </c>
      <c r="G22">
        <f t="shared" si="3"/>
        <v>116.96</v>
      </c>
      <c r="M22">
        <v>1</v>
      </c>
      <c r="N22">
        <v>23</v>
      </c>
      <c r="O22">
        <v>5</v>
      </c>
      <c r="P22">
        <v>13</v>
      </c>
      <c r="Q22" s="194">
        <f t="shared" si="1"/>
        <v>124.9</v>
      </c>
      <c r="R22" s="194"/>
      <c r="W22" s="194">
        <f t="shared" si="4"/>
        <v>123.7</v>
      </c>
      <c r="X22" s="198"/>
    </row>
    <row r="23" spans="1:24" x14ac:dyDescent="0.2">
      <c r="A23" s="359">
        <v>54.22</v>
      </c>
      <c r="B23">
        <v>17</v>
      </c>
      <c r="C23">
        <f t="shared" si="2"/>
        <v>109.52</v>
      </c>
      <c r="E23" s="359">
        <v>54.22</v>
      </c>
      <c r="F23">
        <v>16</v>
      </c>
      <c r="G23">
        <f t="shared" si="3"/>
        <v>110.75999999999999</v>
      </c>
      <c r="M23">
        <v>1</v>
      </c>
      <c r="N23">
        <v>28</v>
      </c>
      <c r="O23">
        <v>5</v>
      </c>
      <c r="P23">
        <v>17</v>
      </c>
      <c r="Q23" s="194">
        <f t="shared" si="1"/>
        <v>121.69999999999999</v>
      </c>
      <c r="R23" s="194"/>
      <c r="W23" s="194">
        <f t="shared" si="4"/>
        <v>123.7</v>
      </c>
      <c r="X23" s="198"/>
    </row>
    <row r="24" spans="1:24" x14ac:dyDescent="0.2">
      <c r="A24" s="359">
        <v>54.23</v>
      </c>
      <c r="B24">
        <v>24</v>
      </c>
      <c r="C24">
        <f t="shared" si="2"/>
        <v>100.84</v>
      </c>
      <c r="E24" s="359">
        <v>54.23</v>
      </c>
      <c r="F24">
        <v>22</v>
      </c>
      <c r="G24">
        <f t="shared" si="3"/>
        <v>103.32</v>
      </c>
      <c r="M24">
        <v>1</v>
      </c>
      <c r="N24">
        <v>24</v>
      </c>
      <c r="O24">
        <v>5</v>
      </c>
      <c r="P24">
        <v>24</v>
      </c>
      <c r="Q24" s="194">
        <f t="shared" si="1"/>
        <v>116.1</v>
      </c>
      <c r="R24" s="194"/>
      <c r="W24" s="194">
        <f t="shared" si="4"/>
        <v>123.7</v>
      </c>
      <c r="X24" s="198"/>
    </row>
    <row r="25" spans="1:24" x14ac:dyDescent="0.2">
      <c r="A25" s="359">
        <v>54.24</v>
      </c>
      <c r="B25">
        <v>21</v>
      </c>
      <c r="C25">
        <f t="shared" si="2"/>
        <v>104.56</v>
      </c>
      <c r="E25" s="359">
        <v>54.24</v>
      </c>
      <c r="F25">
        <v>23</v>
      </c>
      <c r="G25">
        <f t="shared" si="3"/>
        <v>102.08</v>
      </c>
      <c r="M25">
        <v>1</v>
      </c>
      <c r="N25">
        <v>62</v>
      </c>
      <c r="O25">
        <v>5</v>
      </c>
      <c r="P25">
        <v>21</v>
      </c>
      <c r="Q25" s="194">
        <f t="shared" si="1"/>
        <v>118.5</v>
      </c>
      <c r="R25" s="194"/>
      <c r="W25" s="194">
        <f t="shared" si="4"/>
        <v>123.7</v>
      </c>
      <c r="X25" s="198"/>
    </row>
    <row r="26" spans="1:24" x14ac:dyDescent="0.2">
      <c r="A26" s="359">
        <v>54.25</v>
      </c>
      <c r="B26">
        <v>14</v>
      </c>
      <c r="C26">
        <f t="shared" si="2"/>
        <v>113.24</v>
      </c>
      <c r="E26" s="359">
        <v>54.25</v>
      </c>
      <c r="F26">
        <v>13</v>
      </c>
      <c r="G26">
        <f t="shared" si="3"/>
        <v>114.47999999999999</v>
      </c>
      <c r="M26">
        <v>1</v>
      </c>
      <c r="N26">
        <v>38</v>
      </c>
      <c r="O26">
        <v>4</v>
      </c>
      <c r="P26">
        <v>14</v>
      </c>
      <c r="Q26" s="194">
        <f t="shared" si="1"/>
        <v>120.3</v>
      </c>
      <c r="R26" s="194"/>
      <c r="W26" s="194">
        <f t="shared" si="4"/>
        <v>123.7</v>
      </c>
      <c r="X26" s="198"/>
    </row>
    <row r="27" spans="1:24" x14ac:dyDescent="0.2">
      <c r="A27" s="359">
        <v>54.26</v>
      </c>
      <c r="B27">
        <v>24</v>
      </c>
      <c r="C27">
        <f t="shared" si="2"/>
        <v>100.84</v>
      </c>
      <c r="E27" s="359">
        <v>54.26</v>
      </c>
      <c r="G27">
        <f t="shared" si="3"/>
        <v>130.6</v>
      </c>
      <c r="M27">
        <v>2</v>
      </c>
      <c r="N27">
        <v>32</v>
      </c>
      <c r="O27">
        <v>5</v>
      </c>
      <c r="P27">
        <v>24</v>
      </c>
      <c r="Q27" s="194">
        <f t="shared" si="1"/>
        <v>108.7</v>
      </c>
      <c r="R27" s="194"/>
      <c r="W27" s="194">
        <f t="shared" si="4"/>
        <v>123.7</v>
      </c>
      <c r="X27" s="198"/>
    </row>
    <row r="28" spans="1:24" x14ac:dyDescent="0.2">
      <c r="A28" s="359">
        <v>54.27</v>
      </c>
      <c r="B28">
        <v>16</v>
      </c>
      <c r="C28">
        <f t="shared" si="2"/>
        <v>110.75999999999999</v>
      </c>
      <c r="E28" s="359">
        <v>54.27</v>
      </c>
      <c r="F28">
        <v>17</v>
      </c>
      <c r="G28">
        <f t="shared" si="3"/>
        <v>109.52</v>
      </c>
      <c r="M28">
        <v>2</v>
      </c>
      <c r="N28">
        <v>63</v>
      </c>
      <c r="O28">
        <v>2</v>
      </c>
      <c r="P28">
        <v>16</v>
      </c>
      <c r="Q28" s="194">
        <f t="shared" si="1"/>
        <v>103.7</v>
      </c>
      <c r="R28" s="194"/>
      <c r="W28" s="194">
        <f t="shared" si="4"/>
        <v>123.7</v>
      </c>
      <c r="X28" s="198"/>
    </row>
    <row r="29" spans="1:24" x14ac:dyDescent="0.2">
      <c r="A29" s="359">
        <v>54.28</v>
      </c>
      <c r="B29">
        <v>27</v>
      </c>
      <c r="C29">
        <f t="shared" si="2"/>
        <v>97.12</v>
      </c>
      <c r="E29" s="359">
        <v>54.28</v>
      </c>
      <c r="F29">
        <v>35</v>
      </c>
      <c r="G29">
        <f t="shared" si="3"/>
        <v>87.199999999999989</v>
      </c>
      <c r="M29">
        <v>1</v>
      </c>
      <c r="N29">
        <v>24</v>
      </c>
      <c r="O29">
        <v>4</v>
      </c>
      <c r="P29">
        <v>27</v>
      </c>
      <c r="Q29" s="194">
        <f t="shared" si="1"/>
        <v>109.89999999999999</v>
      </c>
      <c r="R29" s="194"/>
      <c r="W29" s="194">
        <f t="shared" si="4"/>
        <v>123.7</v>
      </c>
      <c r="X29" s="198"/>
    </row>
    <row r="30" spans="1:24" x14ac:dyDescent="0.2">
      <c r="A30" s="359">
        <v>54.29</v>
      </c>
      <c r="B30">
        <v>24</v>
      </c>
      <c r="C30">
        <f t="shared" si="2"/>
        <v>100.84</v>
      </c>
      <c r="E30" s="359">
        <v>54.29</v>
      </c>
      <c r="F30">
        <v>25</v>
      </c>
      <c r="G30">
        <f t="shared" si="3"/>
        <v>99.6</v>
      </c>
      <c r="M30">
        <v>2</v>
      </c>
      <c r="N30">
        <v>22</v>
      </c>
      <c r="O30">
        <v>5</v>
      </c>
      <c r="P30">
        <v>24</v>
      </c>
      <c r="Q30" s="194">
        <f t="shared" si="1"/>
        <v>108.7</v>
      </c>
      <c r="R30" s="194"/>
      <c r="W30" s="194">
        <f t="shared" si="4"/>
        <v>123.7</v>
      </c>
      <c r="X30" s="198"/>
    </row>
    <row r="31" spans="1:24" x14ac:dyDescent="0.2">
      <c r="A31" s="359">
        <v>54.3</v>
      </c>
      <c r="B31">
        <v>21</v>
      </c>
      <c r="C31">
        <f t="shared" si="2"/>
        <v>104.56</v>
      </c>
      <c r="E31" s="359">
        <v>54.3</v>
      </c>
      <c r="F31">
        <v>20</v>
      </c>
      <c r="G31">
        <f t="shared" si="3"/>
        <v>105.8</v>
      </c>
      <c r="M31">
        <v>2</v>
      </c>
      <c r="N31">
        <v>23</v>
      </c>
      <c r="O31">
        <v>5</v>
      </c>
      <c r="P31">
        <v>21</v>
      </c>
      <c r="Q31" s="194">
        <f t="shared" si="1"/>
        <v>111.10000000000001</v>
      </c>
      <c r="R31" s="194"/>
      <c r="W31" s="194">
        <f t="shared" si="4"/>
        <v>123.7</v>
      </c>
      <c r="X31" s="198"/>
    </row>
    <row r="32" spans="1:24" x14ac:dyDescent="0.2">
      <c r="A32" s="359">
        <v>54.31</v>
      </c>
      <c r="B32">
        <v>14</v>
      </c>
      <c r="C32">
        <f t="shared" si="2"/>
        <v>113.24</v>
      </c>
      <c r="E32" s="359">
        <v>54.31</v>
      </c>
      <c r="F32">
        <v>12</v>
      </c>
      <c r="G32">
        <f t="shared" si="3"/>
        <v>115.72</v>
      </c>
      <c r="M32">
        <v>1</v>
      </c>
      <c r="N32">
        <v>41</v>
      </c>
      <c r="O32">
        <v>5</v>
      </c>
      <c r="P32">
        <v>14</v>
      </c>
      <c r="Q32" s="194">
        <f t="shared" si="1"/>
        <v>124.1</v>
      </c>
      <c r="R32" s="194"/>
      <c r="W32" s="194">
        <f t="shared" si="4"/>
        <v>123.7</v>
      </c>
      <c r="X32" s="198"/>
    </row>
    <row r="33" spans="1:24" x14ac:dyDescent="0.2">
      <c r="A33" s="359">
        <v>54.32</v>
      </c>
      <c r="B33">
        <v>26</v>
      </c>
      <c r="C33">
        <f t="shared" si="2"/>
        <v>98.359999999999985</v>
      </c>
      <c r="E33" s="359">
        <v>54.32</v>
      </c>
      <c r="F33">
        <v>23</v>
      </c>
      <c r="G33">
        <f t="shared" si="3"/>
        <v>102.08</v>
      </c>
      <c r="M33">
        <v>2</v>
      </c>
      <c r="N33">
        <v>56</v>
      </c>
      <c r="O33">
        <v>5</v>
      </c>
      <c r="P33">
        <v>26</v>
      </c>
      <c r="Q33" s="194">
        <f t="shared" si="1"/>
        <v>107.10000000000001</v>
      </c>
      <c r="R33" s="194"/>
      <c r="W33" s="194">
        <f t="shared" si="4"/>
        <v>123.7</v>
      </c>
      <c r="X33" s="198"/>
    </row>
    <row r="34" spans="1:24" x14ac:dyDescent="0.2">
      <c r="A34" s="359">
        <v>54.33</v>
      </c>
      <c r="B34">
        <v>22</v>
      </c>
      <c r="C34">
        <f t="shared" si="2"/>
        <v>103.32</v>
      </c>
      <c r="E34" s="359">
        <v>54.33</v>
      </c>
      <c r="F34">
        <v>25</v>
      </c>
      <c r="G34">
        <f t="shared" si="3"/>
        <v>99.6</v>
      </c>
      <c r="M34">
        <v>2</v>
      </c>
      <c r="N34">
        <v>46</v>
      </c>
      <c r="O34">
        <v>2</v>
      </c>
      <c r="P34">
        <v>22</v>
      </c>
      <c r="Q34" s="194">
        <f t="shared" si="1"/>
        <v>98.899999999999991</v>
      </c>
      <c r="R34" s="194"/>
      <c r="W34" s="194">
        <f t="shared" si="4"/>
        <v>123.7</v>
      </c>
      <c r="X34" s="198"/>
    </row>
    <row r="35" spans="1:24" x14ac:dyDescent="0.2">
      <c r="A35" s="359">
        <v>54.34</v>
      </c>
      <c r="B35">
        <v>24</v>
      </c>
      <c r="C35">
        <f t="shared" si="2"/>
        <v>100.84</v>
      </c>
      <c r="E35" s="359">
        <v>54.34</v>
      </c>
      <c r="G35">
        <f t="shared" si="3"/>
        <v>130.6</v>
      </c>
      <c r="M35">
        <v>2</v>
      </c>
      <c r="N35">
        <v>25</v>
      </c>
      <c r="O35">
        <v>2</v>
      </c>
      <c r="P35">
        <v>24</v>
      </c>
      <c r="Q35" s="194">
        <f t="shared" si="1"/>
        <v>97.3</v>
      </c>
      <c r="R35" s="194"/>
      <c r="W35" s="194">
        <f t="shared" si="4"/>
        <v>123.7</v>
      </c>
      <c r="X35" s="198"/>
    </row>
    <row r="36" spans="1:24" x14ac:dyDescent="0.2">
      <c r="A36" s="359">
        <v>54.35</v>
      </c>
      <c r="B36">
        <v>6</v>
      </c>
      <c r="C36">
        <f t="shared" si="2"/>
        <v>123.16</v>
      </c>
      <c r="E36" s="359">
        <v>54.35</v>
      </c>
      <c r="F36">
        <v>7</v>
      </c>
      <c r="G36">
        <f t="shared" si="3"/>
        <v>121.91999999999999</v>
      </c>
      <c r="M36">
        <v>1</v>
      </c>
      <c r="N36">
        <v>49</v>
      </c>
      <c r="O36">
        <v>5</v>
      </c>
      <c r="P36">
        <v>6</v>
      </c>
      <c r="Q36" s="194">
        <f t="shared" si="1"/>
        <v>130.5</v>
      </c>
      <c r="R36" s="194"/>
      <c r="W36" s="194">
        <f t="shared" si="4"/>
        <v>123.7</v>
      </c>
      <c r="X36" s="198"/>
    </row>
    <row r="37" spans="1:24" x14ac:dyDescent="0.2">
      <c r="A37" s="359">
        <v>54.36</v>
      </c>
      <c r="B37">
        <v>7</v>
      </c>
      <c r="C37">
        <f t="shared" si="2"/>
        <v>121.91999999999999</v>
      </c>
      <c r="E37" s="359">
        <v>54.36</v>
      </c>
      <c r="F37">
        <v>6</v>
      </c>
      <c r="G37">
        <f t="shared" si="3"/>
        <v>123.16</v>
      </c>
      <c r="M37">
        <v>1</v>
      </c>
      <c r="N37">
        <v>54</v>
      </c>
      <c r="O37">
        <v>5</v>
      </c>
      <c r="P37">
        <v>7</v>
      </c>
      <c r="Q37" s="194">
        <f t="shared" si="1"/>
        <v>129.70000000000002</v>
      </c>
      <c r="R37" s="194"/>
      <c r="W37" s="194">
        <f t="shared" si="4"/>
        <v>123.7</v>
      </c>
      <c r="X37" s="198"/>
    </row>
    <row r="38" spans="1:24" x14ac:dyDescent="0.2">
      <c r="A38" s="359">
        <v>54.37</v>
      </c>
      <c r="B38">
        <v>19</v>
      </c>
      <c r="C38">
        <f t="shared" si="2"/>
        <v>107.03999999999999</v>
      </c>
      <c r="E38" s="359">
        <v>54.37</v>
      </c>
      <c r="F38">
        <v>22</v>
      </c>
      <c r="G38">
        <f t="shared" si="3"/>
        <v>103.32</v>
      </c>
      <c r="M38">
        <v>2</v>
      </c>
      <c r="N38">
        <v>18</v>
      </c>
      <c r="O38">
        <v>5</v>
      </c>
      <c r="P38">
        <v>19</v>
      </c>
      <c r="Q38" s="194">
        <f t="shared" si="1"/>
        <v>112.7</v>
      </c>
      <c r="R38" s="194"/>
      <c r="W38" s="194">
        <f t="shared" si="4"/>
        <v>123.7</v>
      </c>
      <c r="X38" s="198"/>
    </row>
    <row r="39" spans="1:24" x14ac:dyDescent="0.2">
      <c r="A39" s="359">
        <v>54.38</v>
      </c>
      <c r="B39">
        <v>21</v>
      </c>
      <c r="C39">
        <f t="shared" si="2"/>
        <v>104.56</v>
      </c>
      <c r="E39" s="359">
        <v>54.38</v>
      </c>
      <c r="F39">
        <v>20</v>
      </c>
      <c r="G39">
        <f t="shared" si="3"/>
        <v>105.8</v>
      </c>
      <c r="M39">
        <v>1</v>
      </c>
      <c r="N39">
        <v>47</v>
      </c>
      <c r="O39">
        <v>2</v>
      </c>
      <c r="P39">
        <v>21</v>
      </c>
      <c r="Q39" s="194">
        <f t="shared" si="1"/>
        <v>107.1</v>
      </c>
      <c r="R39" s="194"/>
      <c r="W39" s="194">
        <f t="shared" si="4"/>
        <v>123.7</v>
      </c>
      <c r="X39" s="198"/>
    </row>
    <row r="40" spans="1:24" x14ac:dyDescent="0.2">
      <c r="Q40" s="194">
        <f t="shared" si="1"/>
        <v>123.7</v>
      </c>
      <c r="R40" s="194"/>
      <c r="W40" s="194">
        <f t="shared" si="4"/>
        <v>123.7</v>
      </c>
      <c r="X40" s="198"/>
    </row>
    <row r="41" spans="1:24" x14ac:dyDescent="0.2">
      <c r="A41" s="477" t="s">
        <v>36</v>
      </c>
      <c r="B41" s="478"/>
      <c r="C41" s="478"/>
      <c r="D41" s="475"/>
      <c r="E41" s="477" t="s">
        <v>36</v>
      </c>
      <c r="F41" s="475"/>
      <c r="G41" s="478"/>
      <c r="H41" s="475"/>
      <c r="I41" s="475"/>
      <c r="J41" s="475"/>
      <c r="K41" s="475"/>
      <c r="L41" s="475"/>
      <c r="Q41" s="194"/>
      <c r="R41" s="194"/>
      <c r="W41" s="194">
        <f t="shared" ref="W41:W64" si="5">SUM(123.7-(0.8*V41)+(3.8*U41)-(7.4*S41))</f>
        <v>123.7</v>
      </c>
      <c r="X41" s="198"/>
    </row>
    <row r="42" spans="1:24" x14ac:dyDescent="0.2">
      <c r="A42" s="359" t="s">
        <v>98</v>
      </c>
      <c r="B42">
        <v>23</v>
      </c>
      <c r="C42">
        <f t="shared" si="2"/>
        <v>102.08</v>
      </c>
      <c r="E42" s="359" t="s">
        <v>98</v>
      </c>
      <c r="F42">
        <v>15</v>
      </c>
      <c r="G42">
        <f t="shared" si="3"/>
        <v>112</v>
      </c>
      <c r="M42">
        <v>2</v>
      </c>
      <c r="N42">
        <v>25</v>
      </c>
      <c r="O42">
        <v>5</v>
      </c>
      <c r="P42">
        <v>23</v>
      </c>
      <c r="Q42" s="194">
        <f t="shared" si="1"/>
        <v>109.5</v>
      </c>
      <c r="R42" s="194"/>
      <c r="W42" s="194">
        <f t="shared" si="5"/>
        <v>123.7</v>
      </c>
      <c r="X42" s="198"/>
    </row>
    <row r="43" spans="1:24" x14ac:dyDescent="0.2">
      <c r="A43" s="359" t="s">
        <v>100</v>
      </c>
      <c r="B43">
        <v>18</v>
      </c>
      <c r="C43">
        <f t="shared" si="2"/>
        <v>108.28</v>
      </c>
      <c r="E43" s="359" t="s">
        <v>100</v>
      </c>
      <c r="F43">
        <v>13</v>
      </c>
      <c r="G43">
        <f t="shared" si="3"/>
        <v>114.47999999999999</v>
      </c>
      <c r="M43">
        <v>2</v>
      </c>
      <c r="N43">
        <v>28</v>
      </c>
      <c r="O43">
        <v>5</v>
      </c>
      <c r="P43">
        <v>18</v>
      </c>
      <c r="Q43" s="194">
        <f t="shared" si="1"/>
        <v>113.50000000000001</v>
      </c>
      <c r="R43" s="194"/>
      <c r="W43" s="194">
        <f t="shared" si="5"/>
        <v>123.7</v>
      </c>
      <c r="X43" s="198"/>
    </row>
    <row r="44" spans="1:24" x14ac:dyDescent="0.2">
      <c r="A44" s="359" t="s">
        <v>107</v>
      </c>
      <c r="B44">
        <v>13</v>
      </c>
      <c r="C44">
        <f t="shared" si="2"/>
        <v>114.47999999999999</v>
      </c>
      <c r="E44" s="359" t="s">
        <v>107</v>
      </c>
      <c r="F44">
        <v>8</v>
      </c>
      <c r="G44">
        <f t="shared" si="3"/>
        <v>120.67999999999999</v>
      </c>
      <c r="M44">
        <v>1</v>
      </c>
      <c r="N44">
        <v>39</v>
      </c>
      <c r="O44">
        <v>5</v>
      </c>
      <c r="P44">
        <v>13</v>
      </c>
      <c r="Q44" s="194">
        <f t="shared" si="1"/>
        <v>124.9</v>
      </c>
      <c r="R44" s="194"/>
      <c r="W44" s="194">
        <f t="shared" si="5"/>
        <v>123.7</v>
      </c>
      <c r="X44" s="198"/>
    </row>
    <row r="45" spans="1:24" x14ac:dyDescent="0.2">
      <c r="A45" s="359" t="s">
        <v>168</v>
      </c>
      <c r="B45">
        <v>21</v>
      </c>
      <c r="C45">
        <f t="shared" si="2"/>
        <v>104.56</v>
      </c>
      <c r="E45" s="359" t="s">
        <v>168</v>
      </c>
      <c r="F45">
        <v>11</v>
      </c>
      <c r="G45">
        <f t="shared" si="3"/>
        <v>116.96</v>
      </c>
      <c r="M45">
        <v>2</v>
      </c>
      <c r="N45">
        <v>25</v>
      </c>
      <c r="O45">
        <v>4</v>
      </c>
      <c r="P45">
        <v>21</v>
      </c>
      <c r="Q45" s="194">
        <f t="shared" si="1"/>
        <v>107.30000000000001</v>
      </c>
      <c r="R45" s="194"/>
      <c r="W45" s="194">
        <f t="shared" si="5"/>
        <v>123.7</v>
      </c>
      <c r="X45" s="198"/>
    </row>
    <row r="46" spans="1:24" x14ac:dyDescent="0.2">
      <c r="A46" s="359" t="s">
        <v>192</v>
      </c>
      <c r="B46">
        <v>18</v>
      </c>
      <c r="C46">
        <f t="shared" si="2"/>
        <v>108.28</v>
      </c>
      <c r="E46" s="359" t="s">
        <v>192</v>
      </c>
      <c r="F46">
        <v>15</v>
      </c>
      <c r="G46">
        <f t="shared" si="3"/>
        <v>112</v>
      </c>
      <c r="M46">
        <v>2</v>
      </c>
      <c r="N46">
        <v>22</v>
      </c>
      <c r="O46">
        <v>5</v>
      </c>
      <c r="P46">
        <v>18</v>
      </c>
      <c r="Q46" s="194">
        <f t="shared" si="1"/>
        <v>113.50000000000001</v>
      </c>
      <c r="R46" s="194"/>
      <c r="W46" s="194">
        <f t="shared" si="5"/>
        <v>123.7</v>
      </c>
      <c r="X46" s="198"/>
    </row>
    <row r="47" spans="1:24" x14ac:dyDescent="0.2">
      <c r="A47" s="438" t="s">
        <v>195</v>
      </c>
      <c r="B47">
        <v>17</v>
      </c>
      <c r="C47">
        <f t="shared" si="2"/>
        <v>109.52</v>
      </c>
      <c r="D47" s="193"/>
      <c r="E47" s="438" t="s">
        <v>195</v>
      </c>
      <c r="F47" s="193">
        <v>14</v>
      </c>
      <c r="G47">
        <f t="shared" si="3"/>
        <v>113.24</v>
      </c>
      <c r="H47" s="193"/>
      <c r="I47" s="193"/>
      <c r="J47" s="193"/>
      <c r="K47" s="193"/>
      <c r="L47" s="193"/>
      <c r="M47">
        <v>1</v>
      </c>
      <c r="N47">
        <v>24</v>
      </c>
      <c r="O47">
        <v>5</v>
      </c>
      <c r="P47">
        <v>17</v>
      </c>
      <c r="Q47" s="194">
        <f t="shared" si="1"/>
        <v>121.69999999999999</v>
      </c>
      <c r="R47" s="194"/>
      <c r="W47" s="194">
        <f t="shared" si="5"/>
        <v>123.7</v>
      </c>
      <c r="X47" s="198"/>
    </row>
    <row r="48" spans="1:24" x14ac:dyDescent="0.2">
      <c r="A48" s="438" t="s">
        <v>211</v>
      </c>
      <c r="B48">
        <v>31</v>
      </c>
      <c r="C48">
        <f t="shared" si="2"/>
        <v>92.16</v>
      </c>
      <c r="D48" s="193"/>
      <c r="E48" s="438" t="s">
        <v>211</v>
      </c>
      <c r="F48" s="193">
        <v>30</v>
      </c>
      <c r="G48">
        <f t="shared" si="3"/>
        <v>93.399999999999991</v>
      </c>
      <c r="H48" s="193"/>
      <c r="I48" s="193"/>
      <c r="J48" s="193"/>
      <c r="K48" s="193"/>
      <c r="L48" s="193"/>
      <c r="M48">
        <v>2</v>
      </c>
      <c r="N48">
        <v>27</v>
      </c>
      <c r="O48">
        <v>4</v>
      </c>
      <c r="P48">
        <v>31</v>
      </c>
      <c r="Q48" s="194">
        <f t="shared" si="1"/>
        <v>99.300000000000011</v>
      </c>
      <c r="R48" s="194"/>
      <c r="W48" s="194">
        <f t="shared" si="5"/>
        <v>123.7</v>
      </c>
      <c r="X48" s="198"/>
    </row>
    <row r="49" spans="1:24" x14ac:dyDescent="0.2">
      <c r="A49" s="438" t="s">
        <v>215</v>
      </c>
      <c r="B49">
        <v>22</v>
      </c>
      <c r="C49">
        <f t="shared" si="2"/>
        <v>103.32</v>
      </c>
      <c r="D49" s="193"/>
      <c r="E49" s="438" t="s">
        <v>215</v>
      </c>
      <c r="F49" s="193">
        <v>15</v>
      </c>
      <c r="G49">
        <f t="shared" si="3"/>
        <v>112</v>
      </c>
      <c r="H49" s="193"/>
      <c r="I49" s="193"/>
      <c r="J49" s="193"/>
      <c r="K49" s="193"/>
      <c r="L49" s="193"/>
      <c r="M49">
        <v>1</v>
      </c>
      <c r="N49">
        <v>33</v>
      </c>
      <c r="O49">
        <v>5</v>
      </c>
      <c r="P49">
        <v>22</v>
      </c>
      <c r="Q49" s="194">
        <f t="shared" si="1"/>
        <v>117.69999999999999</v>
      </c>
      <c r="R49" s="194"/>
      <c r="W49" s="194">
        <f t="shared" si="5"/>
        <v>123.7</v>
      </c>
      <c r="X49" s="198"/>
    </row>
    <row r="50" spans="1:24" x14ac:dyDescent="0.2">
      <c r="A50" s="438" t="s">
        <v>218</v>
      </c>
      <c r="B50">
        <v>20</v>
      </c>
      <c r="C50">
        <f t="shared" si="2"/>
        <v>105.8</v>
      </c>
      <c r="D50" s="193"/>
      <c r="E50" s="438" t="s">
        <v>218</v>
      </c>
      <c r="F50" s="193">
        <v>20</v>
      </c>
      <c r="G50">
        <f t="shared" si="3"/>
        <v>105.8</v>
      </c>
      <c r="H50" s="193"/>
      <c r="I50" s="193"/>
      <c r="J50" s="193"/>
      <c r="K50" s="193"/>
      <c r="L50" s="193"/>
      <c r="M50">
        <v>2</v>
      </c>
      <c r="N50">
        <v>37</v>
      </c>
      <c r="O50">
        <v>5</v>
      </c>
      <c r="P50">
        <v>20</v>
      </c>
      <c r="Q50" s="194">
        <f t="shared" si="1"/>
        <v>111.9</v>
      </c>
      <c r="R50" s="194"/>
      <c r="W50" s="194">
        <f t="shared" si="5"/>
        <v>123.7</v>
      </c>
      <c r="X50" s="198"/>
    </row>
    <row r="51" spans="1:24" x14ac:dyDescent="0.2">
      <c r="A51" s="438">
        <v>58.1</v>
      </c>
      <c r="B51">
        <v>20</v>
      </c>
      <c r="C51">
        <f t="shared" si="2"/>
        <v>105.8</v>
      </c>
      <c r="D51" s="193"/>
      <c r="E51" s="438">
        <v>58.1</v>
      </c>
      <c r="F51" s="193"/>
      <c r="G51">
        <f t="shared" si="3"/>
        <v>130.6</v>
      </c>
      <c r="H51" s="193"/>
      <c r="I51" s="193"/>
      <c r="J51" s="193"/>
      <c r="K51" s="193"/>
      <c r="L51" s="193"/>
      <c r="M51">
        <v>1</v>
      </c>
      <c r="N51">
        <v>23</v>
      </c>
      <c r="O51">
        <v>5</v>
      </c>
      <c r="P51">
        <v>20</v>
      </c>
      <c r="Q51" s="194">
        <f t="shared" si="1"/>
        <v>119.3</v>
      </c>
      <c r="R51" s="194"/>
      <c r="W51" s="194">
        <f t="shared" si="5"/>
        <v>123.7</v>
      </c>
      <c r="X51" s="198"/>
    </row>
    <row r="52" spans="1:24" x14ac:dyDescent="0.2">
      <c r="A52" s="438">
        <v>58.11</v>
      </c>
      <c r="B52">
        <v>22</v>
      </c>
      <c r="C52">
        <f t="shared" si="2"/>
        <v>103.32</v>
      </c>
      <c r="D52" s="193"/>
      <c r="E52" s="438">
        <v>58.11</v>
      </c>
      <c r="F52" s="193">
        <v>15</v>
      </c>
      <c r="G52">
        <f t="shared" si="3"/>
        <v>112</v>
      </c>
      <c r="H52" s="193"/>
      <c r="I52" s="193"/>
      <c r="J52" s="193"/>
      <c r="K52" s="193"/>
      <c r="L52" s="193"/>
      <c r="M52">
        <v>2</v>
      </c>
      <c r="N52">
        <v>25</v>
      </c>
      <c r="O52">
        <v>5</v>
      </c>
      <c r="P52">
        <v>22</v>
      </c>
      <c r="Q52" s="194">
        <f t="shared" si="1"/>
        <v>110.3</v>
      </c>
      <c r="R52" s="194"/>
      <c r="W52" s="194">
        <f t="shared" si="5"/>
        <v>123.7</v>
      </c>
      <c r="X52" s="198"/>
    </row>
    <row r="53" spans="1:24" x14ac:dyDescent="0.2">
      <c r="A53" s="438">
        <v>58.12</v>
      </c>
      <c r="B53">
        <v>16</v>
      </c>
      <c r="C53">
        <f t="shared" si="2"/>
        <v>110.75999999999999</v>
      </c>
      <c r="D53" s="193"/>
      <c r="E53" s="438">
        <v>58.12</v>
      </c>
      <c r="F53" s="193">
        <v>13</v>
      </c>
      <c r="G53">
        <f t="shared" si="3"/>
        <v>114.47999999999999</v>
      </c>
      <c r="H53" s="193"/>
      <c r="I53" s="193"/>
      <c r="J53" s="193"/>
      <c r="K53" s="193"/>
      <c r="L53" s="193"/>
      <c r="M53">
        <v>2</v>
      </c>
      <c r="N53">
        <v>30</v>
      </c>
      <c r="O53">
        <v>5</v>
      </c>
      <c r="P53">
        <v>16</v>
      </c>
      <c r="Q53" s="194">
        <f t="shared" si="1"/>
        <v>115.10000000000001</v>
      </c>
      <c r="R53" s="194"/>
      <c r="W53" s="194">
        <f t="shared" si="5"/>
        <v>123.7</v>
      </c>
      <c r="X53" s="198"/>
    </row>
    <row r="54" spans="1:24" x14ac:dyDescent="0.2">
      <c r="A54" s="438">
        <v>58.13</v>
      </c>
      <c r="B54">
        <v>19</v>
      </c>
      <c r="C54">
        <f t="shared" si="2"/>
        <v>107.03999999999999</v>
      </c>
      <c r="D54" s="193"/>
      <c r="E54" s="438">
        <v>58.13</v>
      </c>
      <c r="F54" s="193">
        <v>15</v>
      </c>
      <c r="G54">
        <f t="shared" si="3"/>
        <v>112</v>
      </c>
      <c r="H54" s="193"/>
      <c r="I54" s="193"/>
      <c r="J54" s="193"/>
      <c r="K54" s="193"/>
      <c r="L54" s="193"/>
      <c r="M54">
        <v>2</v>
      </c>
      <c r="N54">
        <v>25</v>
      </c>
      <c r="O54">
        <v>5</v>
      </c>
      <c r="P54">
        <v>19</v>
      </c>
      <c r="Q54" s="194">
        <f t="shared" si="1"/>
        <v>112.7</v>
      </c>
      <c r="R54" s="194"/>
      <c r="W54" s="194">
        <f t="shared" si="5"/>
        <v>123.7</v>
      </c>
      <c r="X54" s="198"/>
    </row>
    <row r="55" spans="1:24" x14ac:dyDescent="0.2">
      <c r="A55" s="438">
        <v>58.14</v>
      </c>
      <c r="B55">
        <v>8</v>
      </c>
      <c r="C55">
        <f t="shared" si="2"/>
        <v>120.67999999999999</v>
      </c>
      <c r="D55" s="193"/>
      <c r="E55" s="438">
        <v>58.14</v>
      </c>
      <c r="F55" s="193">
        <v>8</v>
      </c>
      <c r="G55">
        <f t="shared" si="3"/>
        <v>120.67999999999999</v>
      </c>
      <c r="H55" s="193"/>
      <c r="I55" s="193"/>
      <c r="J55" s="193"/>
      <c r="K55" s="193"/>
      <c r="L55" s="193"/>
      <c r="M55">
        <v>1</v>
      </c>
      <c r="N55">
        <v>33</v>
      </c>
      <c r="O55">
        <v>5</v>
      </c>
      <c r="P55">
        <v>8</v>
      </c>
      <c r="Q55" s="194">
        <f t="shared" si="1"/>
        <v>128.9</v>
      </c>
      <c r="R55" s="194"/>
      <c r="W55" s="194">
        <f t="shared" si="5"/>
        <v>123.7</v>
      </c>
    </row>
    <row r="56" spans="1:24" x14ac:dyDescent="0.2">
      <c r="A56" s="438">
        <v>58.15</v>
      </c>
      <c r="B56">
        <v>25</v>
      </c>
      <c r="C56">
        <f t="shared" si="2"/>
        <v>99.6</v>
      </c>
      <c r="D56" s="193"/>
      <c r="E56" s="438">
        <v>58.15</v>
      </c>
      <c r="F56" s="193"/>
      <c r="G56">
        <f t="shared" si="3"/>
        <v>130.6</v>
      </c>
      <c r="H56" s="193"/>
      <c r="I56" s="193"/>
      <c r="J56" s="193"/>
      <c r="K56" s="193"/>
      <c r="L56" s="193"/>
      <c r="M56">
        <v>1</v>
      </c>
      <c r="N56">
        <v>38</v>
      </c>
      <c r="O56">
        <v>5</v>
      </c>
      <c r="P56">
        <v>25</v>
      </c>
      <c r="Q56" s="194">
        <f t="shared" si="1"/>
        <v>115.3</v>
      </c>
      <c r="R56" s="194"/>
      <c r="W56" s="194">
        <f t="shared" si="5"/>
        <v>123.7</v>
      </c>
    </row>
    <row r="57" spans="1:24" x14ac:dyDescent="0.2">
      <c r="A57" s="438">
        <v>58.16</v>
      </c>
      <c r="B57">
        <v>7</v>
      </c>
      <c r="C57">
        <f t="shared" si="2"/>
        <v>121.91999999999999</v>
      </c>
      <c r="D57" s="193"/>
      <c r="E57" s="438">
        <v>58.16</v>
      </c>
      <c r="F57" s="193">
        <v>4</v>
      </c>
      <c r="G57">
        <f t="shared" si="3"/>
        <v>125.64</v>
      </c>
      <c r="H57" s="193"/>
      <c r="I57" s="193"/>
      <c r="J57" s="193"/>
      <c r="K57" s="193"/>
      <c r="L57" s="193"/>
      <c r="M57">
        <v>1</v>
      </c>
      <c r="N57">
        <v>51</v>
      </c>
      <c r="O57">
        <v>5</v>
      </c>
      <c r="P57">
        <v>7</v>
      </c>
      <c r="Q57" s="194">
        <f t="shared" si="1"/>
        <v>129.70000000000002</v>
      </c>
      <c r="R57" s="194"/>
      <c r="W57" s="194">
        <f t="shared" si="5"/>
        <v>123.7</v>
      </c>
    </row>
    <row r="58" spans="1:24" x14ac:dyDescent="0.2">
      <c r="A58" s="438">
        <v>58.17</v>
      </c>
      <c r="B58">
        <v>11</v>
      </c>
      <c r="C58">
        <f t="shared" si="2"/>
        <v>116.96</v>
      </c>
      <c r="D58" s="193"/>
      <c r="E58" s="438">
        <v>58.17</v>
      </c>
      <c r="F58" s="193">
        <v>9</v>
      </c>
      <c r="G58">
        <f t="shared" si="3"/>
        <v>119.44</v>
      </c>
      <c r="H58" s="193"/>
      <c r="I58" s="193"/>
      <c r="J58" s="193"/>
      <c r="K58" s="193"/>
      <c r="L58" s="193"/>
      <c r="M58">
        <v>2</v>
      </c>
      <c r="N58">
        <v>55</v>
      </c>
      <c r="O58">
        <v>5</v>
      </c>
      <c r="P58">
        <v>11</v>
      </c>
      <c r="Q58" s="194">
        <f t="shared" si="1"/>
        <v>119.10000000000001</v>
      </c>
      <c r="R58" s="194"/>
      <c r="W58" s="194">
        <f t="shared" si="5"/>
        <v>123.7</v>
      </c>
    </row>
    <row r="59" spans="1:24" x14ac:dyDescent="0.2">
      <c r="A59" s="438">
        <v>58.18</v>
      </c>
      <c r="B59">
        <v>31</v>
      </c>
      <c r="C59">
        <f t="shared" si="2"/>
        <v>92.16</v>
      </c>
      <c r="D59" s="193"/>
      <c r="E59" s="438">
        <v>58.18</v>
      </c>
      <c r="F59" s="193"/>
      <c r="G59">
        <f t="shared" si="3"/>
        <v>130.6</v>
      </c>
      <c r="H59" s="193"/>
      <c r="I59" s="193"/>
      <c r="J59" s="193"/>
      <c r="K59" s="193"/>
      <c r="L59" s="193"/>
      <c r="M59">
        <v>1</v>
      </c>
      <c r="N59">
        <v>41</v>
      </c>
      <c r="O59">
        <v>5</v>
      </c>
      <c r="P59">
        <v>31</v>
      </c>
      <c r="Q59" s="194">
        <f t="shared" si="1"/>
        <v>110.5</v>
      </c>
      <c r="R59" s="194"/>
      <c r="W59" s="194">
        <f t="shared" si="5"/>
        <v>123.7</v>
      </c>
    </row>
    <row r="60" spans="1:24" x14ac:dyDescent="0.2">
      <c r="A60" s="438">
        <v>58.19</v>
      </c>
      <c r="B60">
        <v>6</v>
      </c>
      <c r="C60">
        <f t="shared" si="2"/>
        <v>123.16</v>
      </c>
      <c r="D60" s="193"/>
      <c r="E60" s="438">
        <v>58.19</v>
      </c>
      <c r="F60" s="193">
        <v>7</v>
      </c>
      <c r="G60">
        <f t="shared" si="3"/>
        <v>121.91999999999999</v>
      </c>
      <c r="H60" s="193"/>
      <c r="I60" s="193"/>
      <c r="J60" s="193"/>
      <c r="K60" s="193"/>
      <c r="L60" s="193"/>
      <c r="M60">
        <v>1</v>
      </c>
      <c r="N60">
        <v>37</v>
      </c>
      <c r="O60">
        <v>5</v>
      </c>
      <c r="P60">
        <v>6</v>
      </c>
      <c r="Q60" s="194">
        <f t="shared" si="1"/>
        <v>130.5</v>
      </c>
      <c r="R60" s="194"/>
      <c r="W60" s="194">
        <f t="shared" si="5"/>
        <v>123.7</v>
      </c>
    </row>
    <row r="61" spans="1:24" x14ac:dyDescent="0.2">
      <c r="A61" s="438">
        <v>58.2</v>
      </c>
      <c r="B61">
        <v>16</v>
      </c>
      <c r="C61">
        <f t="shared" si="2"/>
        <v>110.75999999999999</v>
      </c>
      <c r="D61" s="193"/>
      <c r="E61" s="438">
        <v>58.2</v>
      </c>
      <c r="F61" s="193">
        <v>14</v>
      </c>
      <c r="G61">
        <f t="shared" si="3"/>
        <v>113.24</v>
      </c>
      <c r="H61" s="193"/>
      <c r="I61" s="193"/>
      <c r="J61" s="193"/>
      <c r="K61" s="193"/>
      <c r="L61" s="193"/>
      <c r="M61">
        <v>2</v>
      </c>
      <c r="N61">
        <v>50</v>
      </c>
      <c r="O61">
        <v>5</v>
      </c>
      <c r="P61">
        <v>16</v>
      </c>
      <c r="Q61" s="194">
        <f t="shared" si="1"/>
        <v>115.10000000000001</v>
      </c>
      <c r="R61" s="194"/>
      <c r="W61" s="194">
        <f t="shared" si="5"/>
        <v>123.7</v>
      </c>
    </row>
    <row r="62" spans="1:24" x14ac:dyDescent="0.2">
      <c r="A62" s="438">
        <v>58.21</v>
      </c>
      <c r="B62">
        <v>2</v>
      </c>
      <c r="C62">
        <f t="shared" si="2"/>
        <v>128.12</v>
      </c>
      <c r="D62" s="193"/>
      <c r="E62" s="438">
        <v>58.21</v>
      </c>
      <c r="F62" s="193">
        <v>2</v>
      </c>
      <c r="G62">
        <f t="shared" si="3"/>
        <v>128.12</v>
      </c>
      <c r="H62" s="193"/>
      <c r="I62" s="193"/>
      <c r="J62" s="193"/>
      <c r="K62" s="193"/>
      <c r="L62" s="193"/>
      <c r="M62">
        <v>2</v>
      </c>
      <c r="N62">
        <v>62</v>
      </c>
      <c r="O62">
        <v>5</v>
      </c>
      <c r="P62">
        <v>2</v>
      </c>
      <c r="Q62" s="194">
        <f t="shared" si="1"/>
        <v>126.30000000000003</v>
      </c>
      <c r="R62" s="194"/>
      <c r="W62" s="194">
        <f t="shared" si="5"/>
        <v>123.7</v>
      </c>
    </row>
    <row r="63" spans="1:24" x14ac:dyDescent="0.2">
      <c r="A63" s="438">
        <v>58.22</v>
      </c>
      <c r="B63">
        <v>24</v>
      </c>
      <c r="C63">
        <f t="shared" si="2"/>
        <v>100.84</v>
      </c>
      <c r="D63" s="193"/>
      <c r="E63" s="438">
        <v>58.22</v>
      </c>
      <c r="F63" s="193">
        <v>18</v>
      </c>
      <c r="G63">
        <f t="shared" si="3"/>
        <v>108.28</v>
      </c>
      <c r="H63" s="193"/>
      <c r="I63" s="193"/>
      <c r="J63" s="193"/>
      <c r="K63" s="193"/>
      <c r="L63" s="193"/>
      <c r="M63">
        <v>1</v>
      </c>
      <c r="N63">
        <v>24</v>
      </c>
      <c r="O63">
        <v>5</v>
      </c>
      <c r="P63">
        <v>24</v>
      </c>
      <c r="Q63" s="194">
        <f t="shared" si="1"/>
        <v>116.1</v>
      </c>
      <c r="R63" s="194"/>
      <c r="W63" s="194">
        <f t="shared" si="5"/>
        <v>123.7</v>
      </c>
    </row>
    <row r="64" spans="1:24" x14ac:dyDescent="0.2">
      <c r="A64" s="438">
        <v>58.23</v>
      </c>
      <c r="B64">
        <v>17</v>
      </c>
      <c r="C64">
        <f t="shared" si="2"/>
        <v>109.52</v>
      </c>
      <c r="D64" s="193"/>
      <c r="E64" s="438">
        <v>58.23</v>
      </c>
      <c r="F64" s="193">
        <v>17</v>
      </c>
      <c r="G64">
        <f t="shared" si="3"/>
        <v>109.52</v>
      </c>
      <c r="H64" s="193"/>
      <c r="I64" s="193"/>
      <c r="J64" s="193"/>
      <c r="K64" s="193"/>
      <c r="L64" s="193"/>
      <c r="M64">
        <v>2</v>
      </c>
      <c r="N64">
        <v>23</v>
      </c>
      <c r="O64">
        <v>5</v>
      </c>
      <c r="P64">
        <v>17</v>
      </c>
      <c r="Q64" s="194">
        <f t="shared" si="1"/>
        <v>114.3</v>
      </c>
      <c r="R64" s="194"/>
      <c r="W64" s="194">
        <f t="shared" si="5"/>
        <v>123.7</v>
      </c>
    </row>
    <row r="65" spans="1:23" x14ac:dyDescent="0.2">
      <c r="A65" s="438">
        <v>58.24</v>
      </c>
      <c r="B65">
        <v>12</v>
      </c>
      <c r="C65">
        <f t="shared" si="2"/>
        <v>115.72</v>
      </c>
      <c r="D65" s="193"/>
      <c r="E65" s="438">
        <v>58.24</v>
      </c>
      <c r="F65" s="193">
        <v>11</v>
      </c>
      <c r="G65">
        <f t="shared" si="3"/>
        <v>116.96</v>
      </c>
      <c r="H65" s="193"/>
      <c r="I65" s="193"/>
      <c r="J65" s="193"/>
      <c r="K65" s="193"/>
      <c r="L65" s="193"/>
      <c r="M65">
        <v>1</v>
      </c>
      <c r="N65">
        <v>51</v>
      </c>
      <c r="O65">
        <v>5</v>
      </c>
      <c r="P65">
        <v>12</v>
      </c>
      <c r="Q65" s="194">
        <f t="shared" si="1"/>
        <v>125.69999999999999</v>
      </c>
      <c r="R65" s="194"/>
      <c r="W65" s="194">
        <f>SUM(123.7-(0.8*V65)+(3.8*U65)-(7.4*S65))</f>
        <v>123.7</v>
      </c>
    </row>
    <row r="66" spans="1:23" x14ac:dyDescent="0.2">
      <c r="A66" s="438">
        <v>58.25</v>
      </c>
      <c r="B66">
        <v>17</v>
      </c>
      <c r="C66">
        <f t="shared" si="2"/>
        <v>109.52</v>
      </c>
      <c r="D66" s="193"/>
      <c r="E66" s="438">
        <v>58.25</v>
      </c>
      <c r="F66" s="193"/>
      <c r="G66">
        <f t="shared" si="3"/>
        <v>130.6</v>
      </c>
      <c r="H66" s="193"/>
      <c r="I66" s="193"/>
      <c r="J66" s="193"/>
      <c r="K66" s="193"/>
      <c r="L66" s="193"/>
      <c r="M66">
        <v>2</v>
      </c>
      <c r="N66">
        <v>32</v>
      </c>
      <c r="O66">
        <v>5</v>
      </c>
      <c r="P66">
        <v>17</v>
      </c>
      <c r="Q66" s="194">
        <f>SUM(123.7-(0.8*P66)+(3.8*O66)-(7.4*M66))</f>
        <v>114.3</v>
      </c>
      <c r="R66" s="194"/>
      <c r="W66" s="194">
        <f>SUM(123.7-(0.8*V66)+(3.8*U66)-(7.4*S66))</f>
        <v>123.7</v>
      </c>
    </row>
    <row r="67" spans="1:23" x14ac:dyDescent="0.2">
      <c r="A67" s="438">
        <v>58.26</v>
      </c>
      <c r="B67">
        <v>12</v>
      </c>
      <c r="C67">
        <f t="shared" si="2"/>
        <v>115.72</v>
      </c>
      <c r="D67" s="193"/>
      <c r="E67" s="438">
        <v>58.26</v>
      </c>
      <c r="F67" s="193">
        <v>14</v>
      </c>
      <c r="G67">
        <f t="shared" si="3"/>
        <v>113.24</v>
      </c>
      <c r="H67" s="193"/>
      <c r="I67" s="193"/>
      <c r="J67" s="193"/>
      <c r="K67" s="193"/>
      <c r="L67" s="193"/>
      <c r="M67">
        <v>2</v>
      </c>
      <c r="N67">
        <v>28</v>
      </c>
      <c r="O67">
        <v>5</v>
      </c>
      <c r="P67">
        <v>12</v>
      </c>
      <c r="Q67" s="194">
        <f>SUM(123.7-(0.8*P67)+(3.8*O67)-(7.4*M67))</f>
        <v>118.3</v>
      </c>
      <c r="R67" s="194"/>
      <c r="W67" s="194">
        <f t="shared" ref="W67:W77" si="6">SUM(123.7-(0.8*V67)+(3.8*U67)-(7.4*S67))</f>
        <v>123.7</v>
      </c>
    </row>
    <row r="68" spans="1:23" x14ac:dyDescent="0.2">
      <c r="A68" s="438">
        <v>58.27</v>
      </c>
      <c r="B68">
        <v>23</v>
      </c>
      <c r="C68">
        <f t="shared" ref="C68:C78" si="7">130.6-(1.24*B68)</f>
        <v>102.08</v>
      </c>
      <c r="D68" s="193"/>
      <c r="E68" s="438">
        <v>58.27</v>
      </c>
      <c r="F68" s="193"/>
      <c r="G68">
        <f t="shared" ref="G68:G78" si="8">130.6-(1.24*F68)</f>
        <v>130.6</v>
      </c>
      <c r="H68" s="193"/>
      <c r="I68" s="193"/>
      <c r="J68" s="193"/>
      <c r="K68" s="193"/>
      <c r="L68" s="193"/>
      <c r="M68">
        <v>1</v>
      </c>
      <c r="N68">
        <v>25</v>
      </c>
      <c r="O68">
        <v>5</v>
      </c>
      <c r="P68">
        <v>23</v>
      </c>
      <c r="Q68" s="194">
        <f t="shared" si="1"/>
        <v>116.89999999999999</v>
      </c>
      <c r="R68" s="194"/>
      <c r="W68" s="194">
        <f t="shared" si="6"/>
        <v>123.7</v>
      </c>
    </row>
    <row r="69" spans="1:23" x14ac:dyDescent="0.2">
      <c r="A69" s="438">
        <v>58.28</v>
      </c>
      <c r="B69">
        <v>13</v>
      </c>
      <c r="C69">
        <f t="shared" si="7"/>
        <v>114.47999999999999</v>
      </c>
      <c r="D69" s="193"/>
      <c r="E69" s="438">
        <v>58.28</v>
      </c>
      <c r="F69" s="193">
        <v>13</v>
      </c>
      <c r="G69">
        <f t="shared" si="8"/>
        <v>114.47999999999999</v>
      </c>
      <c r="H69" s="193"/>
      <c r="I69" s="193"/>
      <c r="J69" s="193"/>
      <c r="K69" s="193"/>
      <c r="L69" s="193"/>
      <c r="M69">
        <v>2</v>
      </c>
      <c r="N69">
        <v>57</v>
      </c>
      <c r="O69">
        <v>5</v>
      </c>
      <c r="P69">
        <v>13</v>
      </c>
      <c r="Q69" s="194">
        <f t="shared" si="1"/>
        <v>117.50000000000001</v>
      </c>
      <c r="R69" s="194"/>
      <c r="W69" s="194">
        <f t="shared" si="6"/>
        <v>123.7</v>
      </c>
    </row>
    <row r="70" spans="1:23" x14ac:dyDescent="0.2">
      <c r="A70" s="438">
        <v>58.29</v>
      </c>
      <c r="B70">
        <v>32</v>
      </c>
      <c r="C70">
        <f t="shared" si="7"/>
        <v>90.919999999999987</v>
      </c>
      <c r="D70" s="193"/>
      <c r="E70" s="438">
        <v>58.29</v>
      </c>
      <c r="F70" s="193">
        <v>28</v>
      </c>
      <c r="G70">
        <f t="shared" si="8"/>
        <v>95.88</v>
      </c>
      <c r="H70" s="193"/>
      <c r="I70" s="193"/>
      <c r="J70" s="193"/>
      <c r="K70" s="193"/>
      <c r="L70" s="193"/>
      <c r="M70">
        <v>1</v>
      </c>
      <c r="N70">
        <v>48</v>
      </c>
      <c r="O70">
        <v>5</v>
      </c>
      <c r="P70">
        <v>32</v>
      </c>
      <c r="Q70" s="194">
        <f t="shared" si="1"/>
        <v>109.69999999999999</v>
      </c>
      <c r="R70" s="194"/>
      <c r="W70" s="194">
        <f t="shared" si="6"/>
        <v>123.7</v>
      </c>
    </row>
    <row r="71" spans="1:23" x14ac:dyDescent="0.2">
      <c r="A71" s="438">
        <v>58.3</v>
      </c>
      <c r="B71">
        <v>22</v>
      </c>
      <c r="C71">
        <f t="shared" si="7"/>
        <v>103.32</v>
      </c>
      <c r="D71" s="193"/>
      <c r="E71" s="438">
        <v>58.3</v>
      </c>
      <c r="F71" s="193">
        <v>17</v>
      </c>
      <c r="G71">
        <f t="shared" si="8"/>
        <v>109.52</v>
      </c>
      <c r="H71" s="193"/>
      <c r="I71" s="193"/>
      <c r="J71" s="193"/>
      <c r="K71" s="193"/>
      <c r="L71" s="193"/>
      <c r="M71">
        <v>2</v>
      </c>
      <c r="N71">
        <v>38</v>
      </c>
      <c r="O71">
        <v>5</v>
      </c>
      <c r="P71">
        <v>22</v>
      </c>
      <c r="Q71" s="194">
        <f t="shared" si="1"/>
        <v>110.3</v>
      </c>
      <c r="R71" s="194"/>
      <c r="W71" s="194">
        <f t="shared" si="6"/>
        <v>123.7</v>
      </c>
    </row>
    <row r="72" spans="1:23" x14ac:dyDescent="0.2">
      <c r="A72" s="438">
        <v>58.31</v>
      </c>
      <c r="B72">
        <v>7</v>
      </c>
      <c r="C72">
        <f t="shared" si="7"/>
        <v>121.91999999999999</v>
      </c>
      <c r="D72" s="193"/>
      <c r="E72" s="438">
        <v>58.31</v>
      </c>
      <c r="F72" s="193">
        <v>7</v>
      </c>
      <c r="G72">
        <f t="shared" si="8"/>
        <v>121.91999999999999</v>
      </c>
      <c r="H72" s="193"/>
      <c r="I72" s="193"/>
      <c r="J72" s="193"/>
      <c r="K72" s="193"/>
      <c r="L72" s="193"/>
      <c r="M72">
        <v>1</v>
      </c>
      <c r="N72">
        <v>60</v>
      </c>
      <c r="O72">
        <v>5</v>
      </c>
      <c r="P72">
        <v>7</v>
      </c>
      <c r="Q72" s="194">
        <f t="shared" si="1"/>
        <v>129.70000000000002</v>
      </c>
      <c r="R72" s="194"/>
      <c r="W72" s="194">
        <f t="shared" si="6"/>
        <v>123.7</v>
      </c>
    </row>
    <row r="73" spans="1:23" x14ac:dyDescent="0.2">
      <c r="A73" s="438">
        <v>58.32</v>
      </c>
      <c r="B73">
        <v>7</v>
      </c>
      <c r="C73">
        <f t="shared" si="7"/>
        <v>121.91999999999999</v>
      </c>
      <c r="D73" s="193"/>
      <c r="E73" s="438">
        <v>58.32</v>
      </c>
      <c r="F73" s="193">
        <v>4</v>
      </c>
      <c r="G73">
        <f t="shared" si="8"/>
        <v>125.64</v>
      </c>
      <c r="H73" s="193"/>
      <c r="I73" s="193"/>
      <c r="J73" s="193"/>
      <c r="K73" s="193"/>
      <c r="L73" s="193"/>
      <c r="M73">
        <v>1</v>
      </c>
      <c r="N73">
        <v>43</v>
      </c>
      <c r="O73">
        <v>5</v>
      </c>
      <c r="P73">
        <v>7</v>
      </c>
      <c r="Q73" s="194">
        <f t="shared" ref="Q73:Q136" si="9">SUM(123.7-(0.8*P73)+(3.8*O73)-(7.4*M73))</f>
        <v>129.70000000000002</v>
      </c>
      <c r="R73" s="194"/>
      <c r="W73" s="194">
        <f t="shared" si="6"/>
        <v>123.7</v>
      </c>
    </row>
    <row r="74" spans="1:23" x14ac:dyDescent="0.2">
      <c r="A74" s="438">
        <v>58.33</v>
      </c>
      <c r="B74">
        <v>16</v>
      </c>
      <c r="C74">
        <f t="shared" si="7"/>
        <v>110.75999999999999</v>
      </c>
      <c r="D74" s="193"/>
      <c r="E74" s="438">
        <v>58.33</v>
      </c>
      <c r="F74" s="193">
        <v>4</v>
      </c>
      <c r="G74">
        <f t="shared" si="8"/>
        <v>125.64</v>
      </c>
      <c r="H74" s="193"/>
      <c r="I74" s="193"/>
      <c r="J74" s="193"/>
      <c r="K74" s="193"/>
      <c r="L74" s="193"/>
      <c r="M74">
        <v>1</v>
      </c>
      <c r="N74">
        <v>47</v>
      </c>
      <c r="O74">
        <v>5</v>
      </c>
      <c r="P74">
        <v>16</v>
      </c>
      <c r="Q74" s="194">
        <f t="shared" si="9"/>
        <v>122.5</v>
      </c>
      <c r="R74" s="194"/>
      <c r="W74" s="194">
        <f t="shared" si="6"/>
        <v>123.7</v>
      </c>
    </row>
    <row r="75" spans="1:23" x14ac:dyDescent="0.2">
      <c r="A75" s="438">
        <v>58.34</v>
      </c>
      <c r="B75">
        <v>12</v>
      </c>
      <c r="C75">
        <f t="shared" si="7"/>
        <v>115.72</v>
      </c>
      <c r="D75" s="193"/>
      <c r="E75" s="438">
        <v>58.34</v>
      </c>
      <c r="F75" s="193">
        <v>14</v>
      </c>
      <c r="G75">
        <f t="shared" si="8"/>
        <v>113.24</v>
      </c>
      <c r="H75" s="193"/>
      <c r="I75" s="193"/>
      <c r="J75" s="193"/>
      <c r="K75" s="193"/>
      <c r="L75" s="193"/>
      <c r="M75">
        <v>2</v>
      </c>
      <c r="N75">
        <v>56</v>
      </c>
      <c r="O75">
        <v>5</v>
      </c>
      <c r="P75">
        <v>12</v>
      </c>
      <c r="Q75" s="194">
        <f t="shared" si="9"/>
        <v>118.3</v>
      </c>
      <c r="R75" s="194"/>
      <c r="W75" s="194">
        <f t="shared" si="6"/>
        <v>123.7</v>
      </c>
    </row>
    <row r="76" spans="1:23" x14ac:dyDescent="0.2">
      <c r="A76" s="438">
        <v>58.35</v>
      </c>
      <c r="B76">
        <v>26</v>
      </c>
      <c r="C76">
        <f t="shared" si="7"/>
        <v>98.359999999999985</v>
      </c>
      <c r="D76" s="193"/>
      <c r="E76" s="438">
        <v>58.35</v>
      </c>
      <c r="F76" s="193">
        <v>23</v>
      </c>
      <c r="G76">
        <f t="shared" si="8"/>
        <v>102.08</v>
      </c>
      <c r="H76" s="193"/>
      <c r="I76" s="193"/>
      <c r="J76" s="193"/>
      <c r="K76" s="193"/>
      <c r="L76" s="193"/>
      <c r="M76">
        <v>1</v>
      </c>
      <c r="N76">
        <v>53</v>
      </c>
      <c r="O76">
        <v>5</v>
      </c>
      <c r="P76">
        <v>26</v>
      </c>
      <c r="Q76" s="194">
        <f t="shared" si="9"/>
        <v>114.5</v>
      </c>
      <c r="R76" s="194"/>
      <c r="W76" s="194">
        <f t="shared" si="6"/>
        <v>123.7</v>
      </c>
    </row>
    <row r="77" spans="1:23" x14ac:dyDescent="0.2">
      <c r="A77" s="438">
        <v>58.36</v>
      </c>
      <c r="B77">
        <v>13</v>
      </c>
      <c r="C77">
        <f t="shared" si="7"/>
        <v>114.47999999999999</v>
      </c>
      <c r="D77" s="193"/>
      <c r="E77" s="438">
        <v>58.36</v>
      </c>
      <c r="F77" s="193"/>
      <c r="G77">
        <f t="shared" si="8"/>
        <v>130.6</v>
      </c>
      <c r="H77" s="193"/>
      <c r="I77" s="193"/>
      <c r="J77" s="193"/>
      <c r="K77" s="193"/>
      <c r="L77" s="193"/>
      <c r="M77">
        <v>2</v>
      </c>
      <c r="N77">
        <v>22</v>
      </c>
      <c r="O77">
        <v>5</v>
      </c>
      <c r="P77">
        <v>13</v>
      </c>
      <c r="Q77" s="194">
        <f t="shared" si="9"/>
        <v>117.50000000000001</v>
      </c>
      <c r="R77" s="194"/>
      <c r="W77" s="194">
        <f t="shared" si="6"/>
        <v>123.7</v>
      </c>
    </row>
    <row r="78" spans="1:23" x14ac:dyDescent="0.2">
      <c r="A78" s="438">
        <v>58.37</v>
      </c>
      <c r="B78">
        <v>7</v>
      </c>
      <c r="C78">
        <f t="shared" si="7"/>
        <v>121.91999999999999</v>
      </c>
      <c r="D78" s="193"/>
      <c r="E78" s="438">
        <v>58.37</v>
      </c>
      <c r="F78" s="193">
        <v>6</v>
      </c>
      <c r="G78">
        <f t="shared" si="8"/>
        <v>123.16</v>
      </c>
      <c r="H78" s="193"/>
      <c r="I78" s="193"/>
      <c r="J78" s="193"/>
      <c r="K78" s="193"/>
      <c r="L78" s="193"/>
      <c r="M78">
        <v>2</v>
      </c>
      <c r="N78">
        <v>18</v>
      </c>
      <c r="O78">
        <v>5</v>
      </c>
      <c r="P78">
        <v>7</v>
      </c>
      <c r="Q78" s="194">
        <f t="shared" si="9"/>
        <v>122.30000000000003</v>
      </c>
      <c r="R78" s="194"/>
      <c r="S78" s="194"/>
      <c r="T78" s="194"/>
      <c r="U78" s="194"/>
      <c r="V78" s="194"/>
      <c r="W78" s="194"/>
    </row>
    <row r="79" spans="1:23" x14ac:dyDescent="0.2">
      <c r="Q79" s="194">
        <f t="shared" si="9"/>
        <v>123.7</v>
      </c>
      <c r="R79" s="194"/>
      <c r="S79" s="194"/>
      <c r="T79" s="194"/>
      <c r="U79" s="194"/>
      <c r="V79" s="194"/>
      <c r="W79" s="194"/>
    </row>
    <row r="80" spans="1:23" x14ac:dyDescent="0.2">
      <c r="Q80" s="194">
        <f t="shared" si="9"/>
        <v>123.7</v>
      </c>
      <c r="R80" s="194"/>
      <c r="S80" s="194"/>
      <c r="T80" s="194"/>
      <c r="U80" s="194"/>
      <c r="V80" s="194"/>
      <c r="W80" s="194"/>
    </row>
    <row r="81" spans="17:23" x14ac:dyDescent="0.2">
      <c r="Q81" s="194">
        <f t="shared" si="9"/>
        <v>123.7</v>
      </c>
      <c r="R81" s="194"/>
      <c r="S81" s="194"/>
      <c r="T81" s="194"/>
      <c r="U81" s="194"/>
      <c r="V81" s="194"/>
      <c r="W81" s="194"/>
    </row>
    <row r="82" spans="17:23" x14ac:dyDescent="0.2">
      <c r="Q82" s="194">
        <f t="shared" si="9"/>
        <v>123.7</v>
      </c>
      <c r="R82" s="194"/>
      <c r="S82" s="194"/>
      <c r="T82" s="194"/>
      <c r="U82" s="194"/>
      <c r="V82" s="194"/>
      <c r="W82" s="194"/>
    </row>
    <row r="83" spans="17:23" x14ac:dyDescent="0.2">
      <c r="Q83" s="194">
        <f t="shared" si="9"/>
        <v>123.7</v>
      </c>
      <c r="R83" s="194"/>
      <c r="S83" s="194"/>
      <c r="T83" s="194"/>
      <c r="U83" s="194"/>
      <c r="V83" s="194"/>
      <c r="W83" s="194"/>
    </row>
    <row r="84" spans="17:23" x14ac:dyDescent="0.2">
      <c r="Q84" s="194">
        <f t="shared" si="9"/>
        <v>123.7</v>
      </c>
      <c r="R84" s="194"/>
      <c r="S84" s="194"/>
      <c r="T84" s="194"/>
      <c r="U84" s="194"/>
      <c r="V84" s="194"/>
      <c r="W84" s="194"/>
    </row>
    <row r="85" spans="17:23" x14ac:dyDescent="0.2">
      <c r="Q85" s="194">
        <f t="shared" si="9"/>
        <v>123.7</v>
      </c>
      <c r="R85" s="194"/>
      <c r="S85" s="194"/>
      <c r="T85" s="194"/>
      <c r="U85" s="194"/>
      <c r="V85" s="194"/>
      <c r="W85" s="194"/>
    </row>
    <row r="86" spans="17:23" x14ac:dyDescent="0.2">
      <c r="Q86" s="194">
        <f t="shared" si="9"/>
        <v>123.7</v>
      </c>
      <c r="R86" s="194"/>
      <c r="S86" s="194"/>
      <c r="T86" s="194"/>
      <c r="U86" s="194"/>
      <c r="V86" s="194"/>
      <c r="W86" s="194"/>
    </row>
    <row r="87" spans="17:23" x14ac:dyDescent="0.2">
      <c r="Q87" s="194">
        <f t="shared" si="9"/>
        <v>123.7</v>
      </c>
      <c r="R87" s="194"/>
      <c r="S87" s="194"/>
      <c r="T87" s="194"/>
      <c r="U87" s="194"/>
      <c r="V87" s="194"/>
      <c r="W87" s="194"/>
    </row>
    <row r="88" spans="17:23" x14ac:dyDescent="0.2">
      <c r="Q88" s="194">
        <f t="shared" si="9"/>
        <v>123.7</v>
      </c>
      <c r="R88" s="194"/>
      <c r="S88" s="194"/>
      <c r="T88" s="194"/>
      <c r="U88" s="194"/>
      <c r="V88" s="194"/>
      <c r="W88" s="194"/>
    </row>
    <row r="89" spans="17:23" x14ac:dyDescent="0.2">
      <c r="Q89" s="194">
        <f t="shared" si="9"/>
        <v>123.7</v>
      </c>
      <c r="R89" s="194"/>
      <c r="S89" s="194"/>
      <c r="T89" s="194"/>
      <c r="U89" s="194"/>
      <c r="V89" s="194"/>
      <c r="W89" s="194"/>
    </row>
    <row r="90" spans="17:23" x14ac:dyDescent="0.2">
      <c r="Q90" s="194">
        <f t="shared" si="9"/>
        <v>123.7</v>
      </c>
      <c r="R90" s="194"/>
      <c r="S90" s="194"/>
      <c r="T90" s="194"/>
      <c r="U90" s="194"/>
      <c r="V90" s="194"/>
      <c r="W90" s="194"/>
    </row>
    <row r="91" spans="17:23" x14ac:dyDescent="0.2">
      <c r="Q91" s="194">
        <f t="shared" si="9"/>
        <v>123.7</v>
      </c>
      <c r="R91" s="194"/>
      <c r="S91" s="194"/>
      <c r="T91" s="194"/>
      <c r="U91" s="194"/>
      <c r="V91" s="194"/>
      <c r="W91" s="194"/>
    </row>
    <row r="92" spans="17:23" x14ac:dyDescent="0.2">
      <c r="Q92" s="194">
        <f t="shared" si="9"/>
        <v>123.7</v>
      </c>
      <c r="R92" s="194"/>
      <c r="S92" s="194"/>
      <c r="T92" s="194"/>
      <c r="U92" s="194"/>
      <c r="V92" s="194"/>
      <c r="W92" s="194"/>
    </row>
    <row r="93" spans="17:23" x14ac:dyDescent="0.2">
      <c r="Q93" s="194">
        <f t="shared" si="9"/>
        <v>123.7</v>
      </c>
      <c r="R93" s="194"/>
      <c r="S93" s="194"/>
      <c r="T93" s="194"/>
      <c r="U93" s="194"/>
      <c r="V93" s="194"/>
      <c r="W93" s="194"/>
    </row>
    <row r="94" spans="17:23" x14ac:dyDescent="0.2">
      <c r="Q94" s="194">
        <f t="shared" si="9"/>
        <v>123.7</v>
      </c>
      <c r="R94" s="194"/>
      <c r="S94" s="194"/>
      <c r="T94" s="194"/>
      <c r="U94" s="194"/>
      <c r="V94" s="194"/>
      <c r="W94" s="194"/>
    </row>
    <row r="95" spans="17:23" x14ac:dyDescent="0.2">
      <c r="Q95" s="194">
        <f t="shared" si="9"/>
        <v>123.7</v>
      </c>
      <c r="R95" s="194"/>
      <c r="S95" s="194"/>
      <c r="T95" s="194"/>
      <c r="U95" s="194"/>
      <c r="V95" s="194"/>
      <c r="W95" s="194"/>
    </row>
    <row r="96" spans="17:23" x14ac:dyDescent="0.2">
      <c r="Q96" s="194">
        <f t="shared" si="9"/>
        <v>123.7</v>
      </c>
      <c r="R96" s="194"/>
      <c r="S96" s="194"/>
      <c r="T96" s="194"/>
      <c r="U96" s="194"/>
      <c r="V96" s="194"/>
      <c r="W96" s="194"/>
    </row>
    <row r="97" spans="17:23" x14ac:dyDescent="0.2">
      <c r="Q97" s="194">
        <f t="shared" si="9"/>
        <v>123.7</v>
      </c>
      <c r="R97" s="194"/>
      <c r="S97" s="194"/>
      <c r="T97" s="194"/>
      <c r="U97" s="194"/>
      <c r="V97" s="194"/>
      <c r="W97" s="194"/>
    </row>
    <row r="98" spans="17:23" x14ac:dyDescent="0.2">
      <c r="Q98" s="194">
        <f t="shared" si="9"/>
        <v>123.7</v>
      </c>
      <c r="R98" s="194"/>
      <c r="S98" s="194"/>
      <c r="T98" s="194"/>
      <c r="U98" s="194"/>
      <c r="V98" s="194"/>
      <c r="W98" s="194"/>
    </row>
    <row r="99" spans="17:23" x14ac:dyDescent="0.2">
      <c r="Q99" s="194">
        <f t="shared" si="9"/>
        <v>123.7</v>
      </c>
      <c r="R99" s="194"/>
      <c r="S99" s="194"/>
      <c r="T99" s="194"/>
      <c r="U99" s="194"/>
      <c r="V99" s="194"/>
      <c r="W99" s="194"/>
    </row>
    <row r="100" spans="17:23" x14ac:dyDescent="0.2">
      <c r="Q100" s="194">
        <f t="shared" si="9"/>
        <v>123.7</v>
      </c>
      <c r="R100" s="194"/>
      <c r="S100" s="194"/>
      <c r="T100" s="194"/>
      <c r="U100" s="194"/>
      <c r="V100" s="194"/>
      <c r="W100" s="194"/>
    </row>
    <row r="101" spans="17:23" x14ac:dyDescent="0.2">
      <c r="Q101" s="194">
        <f t="shared" si="9"/>
        <v>123.7</v>
      </c>
      <c r="R101" s="194"/>
      <c r="S101" s="194"/>
      <c r="T101" s="194"/>
      <c r="U101" s="194"/>
      <c r="V101" s="194"/>
      <c r="W101" s="194"/>
    </row>
    <row r="102" spans="17:23" x14ac:dyDescent="0.2">
      <c r="Q102" s="194">
        <f t="shared" si="9"/>
        <v>123.7</v>
      </c>
      <c r="R102" s="194"/>
      <c r="S102" s="194"/>
      <c r="T102" s="194"/>
      <c r="U102" s="194"/>
      <c r="V102" s="194"/>
      <c r="W102" s="194"/>
    </row>
    <row r="103" spans="17:23" x14ac:dyDescent="0.2">
      <c r="Q103" s="194">
        <f t="shared" si="9"/>
        <v>123.7</v>
      </c>
      <c r="R103" s="194"/>
      <c r="S103" s="194"/>
      <c r="T103" s="194"/>
      <c r="U103" s="194"/>
      <c r="V103" s="194"/>
      <c r="W103" s="194"/>
    </row>
    <row r="104" spans="17:23" x14ac:dyDescent="0.2">
      <c r="Q104" s="194">
        <f t="shared" si="9"/>
        <v>123.7</v>
      </c>
      <c r="R104" s="194"/>
      <c r="S104" s="194"/>
      <c r="T104" s="194"/>
      <c r="U104" s="194"/>
      <c r="V104" s="194"/>
      <c r="W104" s="194"/>
    </row>
    <row r="105" spans="17:23" x14ac:dyDescent="0.2">
      <c r="Q105" s="194">
        <f t="shared" si="9"/>
        <v>123.7</v>
      </c>
      <c r="R105" s="194"/>
      <c r="S105" s="194"/>
      <c r="T105" s="194"/>
      <c r="U105" s="194"/>
      <c r="V105" s="194"/>
      <c r="W105" s="194"/>
    </row>
    <row r="106" spans="17:23" x14ac:dyDescent="0.2">
      <c r="Q106" s="194">
        <f t="shared" si="9"/>
        <v>123.7</v>
      </c>
      <c r="R106" s="194"/>
      <c r="S106" s="194"/>
      <c r="T106" s="194"/>
      <c r="U106" s="194"/>
      <c r="V106" s="194"/>
      <c r="W106" s="194"/>
    </row>
    <row r="107" spans="17:23" x14ac:dyDescent="0.2">
      <c r="Q107" s="194">
        <f t="shared" si="9"/>
        <v>123.7</v>
      </c>
      <c r="R107" s="194"/>
      <c r="S107" s="194"/>
      <c r="T107" s="194"/>
      <c r="U107" s="194"/>
      <c r="V107" s="194"/>
      <c r="W107" s="194"/>
    </row>
    <row r="108" spans="17:23" x14ac:dyDescent="0.2">
      <c r="Q108" s="194">
        <f t="shared" si="9"/>
        <v>123.7</v>
      </c>
      <c r="R108" s="194"/>
      <c r="S108" s="194"/>
      <c r="T108" s="194"/>
      <c r="U108" s="194"/>
      <c r="V108" s="194"/>
      <c r="W108" s="194"/>
    </row>
    <row r="109" spans="17:23" x14ac:dyDescent="0.2">
      <c r="Q109" s="194">
        <f t="shared" si="9"/>
        <v>123.7</v>
      </c>
      <c r="R109" s="194"/>
      <c r="S109" s="194"/>
      <c r="T109" s="194"/>
      <c r="U109" s="194"/>
      <c r="V109" s="194"/>
      <c r="W109" s="194"/>
    </row>
    <row r="110" spans="17:23" x14ac:dyDescent="0.2">
      <c r="Q110" s="194">
        <f t="shared" si="9"/>
        <v>123.7</v>
      </c>
      <c r="R110" s="194"/>
      <c r="S110" s="194"/>
      <c r="T110" s="194"/>
      <c r="U110" s="194"/>
      <c r="V110" s="194"/>
      <c r="W110" s="194"/>
    </row>
    <row r="111" spans="17:23" x14ac:dyDescent="0.2">
      <c r="Q111" s="194">
        <f t="shared" si="9"/>
        <v>123.7</v>
      </c>
      <c r="R111" s="194"/>
      <c r="S111" s="194"/>
      <c r="T111" s="194"/>
      <c r="U111" s="194"/>
      <c r="V111" s="194"/>
      <c r="W111" s="194"/>
    </row>
    <row r="112" spans="17:23" x14ac:dyDescent="0.2">
      <c r="Q112" s="194">
        <f t="shared" si="9"/>
        <v>123.7</v>
      </c>
      <c r="R112" s="194"/>
      <c r="S112" s="194"/>
      <c r="T112" s="194"/>
      <c r="U112" s="194"/>
      <c r="V112" s="194"/>
      <c r="W112" s="194"/>
    </row>
    <row r="113" spans="17:23" x14ac:dyDescent="0.2">
      <c r="Q113" s="194">
        <f t="shared" si="9"/>
        <v>123.7</v>
      </c>
      <c r="R113" s="194"/>
      <c r="S113" s="194"/>
      <c r="T113" s="194"/>
      <c r="U113" s="194"/>
      <c r="V113" s="194"/>
      <c r="W113" s="194"/>
    </row>
    <row r="114" spans="17:23" x14ac:dyDescent="0.2">
      <c r="Q114" s="194">
        <f t="shared" si="9"/>
        <v>123.7</v>
      </c>
      <c r="R114" s="194"/>
      <c r="S114" s="194"/>
      <c r="T114" s="194"/>
      <c r="U114" s="194"/>
      <c r="V114" s="194"/>
      <c r="W114" s="194"/>
    </row>
    <row r="115" spans="17:23" x14ac:dyDescent="0.2">
      <c r="Q115" s="194">
        <f t="shared" si="9"/>
        <v>123.7</v>
      </c>
      <c r="R115" s="194"/>
      <c r="S115" s="194"/>
      <c r="T115" s="194"/>
      <c r="U115" s="194"/>
      <c r="V115" s="194"/>
      <c r="W115" s="194"/>
    </row>
    <row r="116" spans="17:23" x14ac:dyDescent="0.2">
      <c r="Q116" s="194">
        <f t="shared" si="9"/>
        <v>123.7</v>
      </c>
      <c r="R116" s="194"/>
      <c r="S116" s="194"/>
      <c r="T116" s="194"/>
      <c r="U116" s="194"/>
      <c r="V116" s="194"/>
      <c r="W116" s="194"/>
    </row>
    <row r="117" spans="17:23" x14ac:dyDescent="0.2">
      <c r="Q117" s="194">
        <f t="shared" si="9"/>
        <v>123.7</v>
      </c>
      <c r="R117" s="194"/>
      <c r="S117" s="194"/>
      <c r="T117" s="194"/>
      <c r="U117" s="194"/>
      <c r="V117" s="194"/>
      <c r="W117" s="194"/>
    </row>
    <row r="118" spans="17:23" x14ac:dyDescent="0.2">
      <c r="Q118" s="194">
        <f t="shared" si="9"/>
        <v>123.7</v>
      </c>
      <c r="R118" s="194"/>
      <c r="S118" s="194"/>
      <c r="T118" s="194"/>
      <c r="U118" s="194"/>
      <c r="V118" s="194"/>
      <c r="W118" s="194"/>
    </row>
    <row r="119" spans="17:23" x14ac:dyDescent="0.2">
      <c r="Q119" s="194">
        <f t="shared" si="9"/>
        <v>123.7</v>
      </c>
      <c r="R119" s="194"/>
      <c r="S119" s="194"/>
      <c r="T119" s="194"/>
      <c r="U119" s="194"/>
      <c r="V119" s="194"/>
      <c r="W119" s="194"/>
    </row>
    <row r="120" spans="17:23" x14ac:dyDescent="0.2">
      <c r="Q120" s="194">
        <f t="shared" si="9"/>
        <v>123.7</v>
      </c>
      <c r="R120" s="194"/>
      <c r="S120" s="194"/>
      <c r="T120" s="194"/>
      <c r="U120" s="194"/>
      <c r="V120" s="194"/>
      <c r="W120" s="194"/>
    </row>
    <row r="121" spans="17:23" x14ac:dyDescent="0.2">
      <c r="Q121" s="194">
        <f t="shared" si="9"/>
        <v>123.7</v>
      </c>
      <c r="R121" s="194"/>
      <c r="S121" s="194"/>
      <c r="T121" s="194"/>
      <c r="U121" s="194"/>
      <c r="V121" s="194"/>
      <c r="W121" s="194"/>
    </row>
    <row r="122" spans="17:23" x14ac:dyDescent="0.2">
      <c r="Q122" s="194">
        <f t="shared" si="9"/>
        <v>123.7</v>
      </c>
      <c r="R122" s="194"/>
      <c r="S122" s="194"/>
      <c r="T122" s="194"/>
      <c r="U122" s="194"/>
      <c r="V122" s="194"/>
      <c r="W122" s="194"/>
    </row>
    <row r="123" spans="17:23" x14ac:dyDescent="0.2">
      <c r="Q123" s="194">
        <f t="shared" si="9"/>
        <v>123.7</v>
      </c>
      <c r="R123" s="194"/>
      <c r="S123" s="194"/>
      <c r="T123" s="194"/>
      <c r="U123" s="194"/>
      <c r="V123" s="194"/>
      <c r="W123" s="194"/>
    </row>
    <row r="124" spans="17:23" x14ac:dyDescent="0.2">
      <c r="Q124" s="194">
        <f t="shared" si="9"/>
        <v>123.7</v>
      </c>
      <c r="R124" s="194"/>
      <c r="S124" s="194"/>
      <c r="T124" s="194"/>
      <c r="U124" s="194"/>
      <c r="V124" s="194"/>
      <c r="W124" s="194"/>
    </row>
    <row r="125" spans="17:23" x14ac:dyDescent="0.2">
      <c r="Q125" s="194">
        <f t="shared" si="9"/>
        <v>123.7</v>
      </c>
      <c r="R125" s="194"/>
      <c r="S125" s="194"/>
      <c r="T125" s="194"/>
      <c r="U125" s="194"/>
      <c r="V125" s="194"/>
      <c r="W125" s="194"/>
    </row>
    <row r="126" spans="17:23" x14ac:dyDescent="0.2">
      <c r="Q126" s="194">
        <f t="shared" si="9"/>
        <v>123.7</v>
      </c>
      <c r="R126" s="194"/>
      <c r="S126" s="194"/>
      <c r="T126" s="194"/>
      <c r="U126" s="194"/>
      <c r="V126" s="194"/>
      <c r="W126" s="194"/>
    </row>
    <row r="127" spans="17:23" x14ac:dyDescent="0.2">
      <c r="Q127" s="194">
        <f t="shared" si="9"/>
        <v>123.7</v>
      </c>
      <c r="R127" s="194"/>
      <c r="S127" s="194"/>
      <c r="T127" s="194"/>
      <c r="U127" s="194"/>
      <c r="V127" s="194"/>
      <c r="W127" s="194"/>
    </row>
    <row r="128" spans="17:23" x14ac:dyDescent="0.2">
      <c r="Q128" s="194">
        <f t="shared" si="9"/>
        <v>123.7</v>
      </c>
      <c r="R128" s="194"/>
      <c r="S128" s="194"/>
      <c r="T128" s="194"/>
      <c r="U128" s="194"/>
      <c r="V128" s="194"/>
      <c r="W128" s="194"/>
    </row>
    <row r="129" spans="17:23" x14ac:dyDescent="0.2">
      <c r="Q129" s="194">
        <f t="shared" si="9"/>
        <v>123.7</v>
      </c>
      <c r="R129" s="194"/>
      <c r="S129" s="194"/>
      <c r="T129" s="194"/>
      <c r="U129" s="194"/>
      <c r="V129" s="194"/>
      <c r="W129" s="194"/>
    </row>
    <row r="130" spans="17:23" x14ac:dyDescent="0.2">
      <c r="Q130" s="194">
        <f t="shared" si="9"/>
        <v>123.7</v>
      </c>
      <c r="R130" s="194"/>
      <c r="S130" s="194"/>
      <c r="T130" s="194"/>
      <c r="U130" s="194"/>
      <c r="V130" s="194"/>
      <c r="W130" s="194"/>
    </row>
    <row r="131" spans="17:23" x14ac:dyDescent="0.2">
      <c r="Q131" s="194">
        <f t="shared" si="9"/>
        <v>123.7</v>
      </c>
      <c r="R131" s="194"/>
      <c r="S131" s="194"/>
      <c r="T131" s="194"/>
      <c r="U131" s="194"/>
      <c r="V131" s="194"/>
      <c r="W131" s="194"/>
    </row>
    <row r="132" spans="17:23" x14ac:dyDescent="0.2">
      <c r="Q132" s="194">
        <f t="shared" si="9"/>
        <v>123.7</v>
      </c>
      <c r="R132" s="194"/>
      <c r="S132" s="194"/>
      <c r="T132" s="194"/>
      <c r="U132" s="194"/>
      <c r="V132" s="194"/>
      <c r="W132" s="194"/>
    </row>
    <row r="133" spans="17:23" x14ac:dyDescent="0.2">
      <c r="Q133" s="194">
        <f t="shared" si="9"/>
        <v>123.7</v>
      </c>
      <c r="R133" s="194"/>
      <c r="S133" s="194"/>
      <c r="T133" s="194"/>
      <c r="U133" s="194"/>
      <c r="V133" s="194"/>
      <c r="W133" s="194"/>
    </row>
    <row r="134" spans="17:23" x14ac:dyDescent="0.2">
      <c r="Q134" s="194">
        <f t="shared" si="9"/>
        <v>123.7</v>
      </c>
      <c r="R134" s="194"/>
      <c r="S134" s="194"/>
      <c r="T134" s="194"/>
      <c r="U134" s="194"/>
      <c r="V134" s="194"/>
      <c r="W134" s="194"/>
    </row>
    <row r="135" spans="17:23" x14ac:dyDescent="0.2">
      <c r="Q135" s="194">
        <f t="shared" si="9"/>
        <v>123.7</v>
      </c>
      <c r="R135" s="194"/>
      <c r="S135" s="194"/>
      <c r="T135" s="194"/>
      <c r="U135" s="194"/>
      <c r="V135" s="194"/>
      <c r="W135" s="194"/>
    </row>
    <row r="136" spans="17:23" x14ac:dyDescent="0.2">
      <c r="Q136" s="194">
        <f t="shared" si="9"/>
        <v>123.7</v>
      </c>
      <c r="R136" s="194"/>
      <c r="S136" s="194"/>
      <c r="T136" s="194"/>
      <c r="U136" s="194"/>
      <c r="V136" s="194"/>
      <c r="W136" s="194"/>
    </row>
    <row r="137" spans="17:23" x14ac:dyDescent="0.2">
      <c r="Q137" s="194">
        <f t="shared" ref="Q137:Q153" si="10">SUM(123.7-(0.8*P137)+(3.8*O137)-(7.4*M137))</f>
        <v>123.7</v>
      </c>
      <c r="R137" s="194"/>
      <c r="S137" s="194"/>
      <c r="T137" s="194"/>
      <c r="U137" s="194"/>
      <c r="V137" s="194"/>
      <c r="W137" s="194"/>
    </row>
    <row r="138" spans="17:23" x14ac:dyDescent="0.2">
      <c r="Q138" s="194">
        <f t="shared" si="10"/>
        <v>123.7</v>
      </c>
      <c r="R138" s="194"/>
      <c r="S138" s="194"/>
      <c r="T138" s="194"/>
      <c r="U138" s="194"/>
      <c r="V138" s="194"/>
      <c r="W138" s="194"/>
    </row>
    <row r="139" spans="17:23" x14ac:dyDescent="0.2">
      <c r="Q139" s="194">
        <f t="shared" si="10"/>
        <v>123.7</v>
      </c>
      <c r="R139" s="194"/>
      <c r="S139" s="194"/>
      <c r="T139" s="194"/>
      <c r="U139" s="194"/>
      <c r="V139" s="194"/>
      <c r="W139" s="194"/>
    </row>
    <row r="140" spans="17:23" x14ac:dyDescent="0.2">
      <c r="Q140" s="194">
        <f t="shared" si="10"/>
        <v>123.7</v>
      </c>
      <c r="R140" s="194"/>
      <c r="S140" s="194"/>
      <c r="T140" s="194"/>
      <c r="U140" s="194"/>
      <c r="V140" s="194"/>
      <c r="W140" s="194"/>
    </row>
    <row r="141" spans="17:23" x14ac:dyDescent="0.2">
      <c r="Q141" s="194">
        <f t="shared" si="10"/>
        <v>123.7</v>
      </c>
      <c r="R141" s="194"/>
      <c r="S141" s="194"/>
      <c r="T141" s="194"/>
      <c r="U141" s="194"/>
      <c r="V141" s="194"/>
      <c r="W141" s="194"/>
    </row>
    <row r="142" spans="17:23" x14ac:dyDescent="0.2">
      <c r="Q142" s="194">
        <f t="shared" si="10"/>
        <v>123.7</v>
      </c>
      <c r="R142" s="194"/>
      <c r="S142" s="194"/>
      <c r="T142" s="194"/>
      <c r="U142" s="194"/>
      <c r="V142" s="194"/>
      <c r="W142" s="194"/>
    </row>
    <row r="143" spans="17:23" x14ac:dyDescent="0.2">
      <c r="Q143" s="194">
        <f t="shared" si="10"/>
        <v>123.7</v>
      </c>
      <c r="R143" s="194"/>
      <c r="S143" s="194"/>
      <c r="T143" s="194"/>
      <c r="U143" s="194"/>
      <c r="V143" s="194"/>
      <c r="W143" s="194"/>
    </row>
    <row r="144" spans="17:23" x14ac:dyDescent="0.2">
      <c r="Q144" s="194">
        <f t="shared" si="10"/>
        <v>123.7</v>
      </c>
      <c r="R144" s="194"/>
      <c r="S144" s="194"/>
      <c r="T144" s="194"/>
      <c r="U144" s="194"/>
      <c r="V144" s="194"/>
      <c r="W144" s="194"/>
    </row>
    <row r="145" spans="17:23" x14ac:dyDescent="0.2">
      <c r="Q145" s="194">
        <f t="shared" si="10"/>
        <v>123.7</v>
      </c>
      <c r="R145" s="194"/>
      <c r="S145" s="194"/>
      <c r="T145" s="194"/>
      <c r="U145" s="194"/>
      <c r="V145" s="194"/>
      <c r="W145" s="194"/>
    </row>
    <row r="146" spans="17:23" x14ac:dyDescent="0.2">
      <c r="Q146" s="194">
        <f t="shared" si="10"/>
        <v>123.7</v>
      </c>
      <c r="R146" s="194"/>
      <c r="S146" s="194"/>
      <c r="T146" s="194"/>
      <c r="U146" s="194"/>
      <c r="V146" s="194"/>
      <c r="W146" s="194"/>
    </row>
    <row r="147" spans="17:23" x14ac:dyDescent="0.2">
      <c r="Q147" s="194">
        <f t="shared" si="10"/>
        <v>123.7</v>
      </c>
      <c r="R147" s="194"/>
      <c r="S147" s="194"/>
      <c r="T147" s="194"/>
      <c r="U147" s="194"/>
      <c r="V147" s="194"/>
      <c r="W147" s="194"/>
    </row>
    <row r="148" spans="17:23" x14ac:dyDescent="0.2">
      <c r="Q148" s="194">
        <f t="shared" si="10"/>
        <v>123.7</v>
      </c>
      <c r="R148" s="194"/>
      <c r="S148" s="194"/>
      <c r="T148" s="194"/>
      <c r="U148" s="194"/>
      <c r="V148" s="194"/>
      <c r="W148" s="194"/>
    </row>
    <row r="149" spans="17:23" x14ac:dyDescent="0.2">
      <c r="Q149" s="194">
        <f t="shared" si="10"/>
        <v>123.7</v>
      </c>
      <c r="R149" s="194"/>
      <c r="S149" s="194"/>
      <c r="T149" s="194"/>
      <c r="U149" s="194"/>
      <c r="V149" s="194"/>
      <c r="W149" s="194"/>
    </row>
    <row r="150" spans="17:23" x14ac:dyDescent="0.2">
      <c r="Q150" s="194">
        <f t="shared" si="10"/>
        <v>123.7</v>
      </c>
      <c r="R150" s="194"/>
      <c r="S150" s="194"/>
      <c r="T150" s="194"/>
      <c r="U150" s="194"/>
      <c r="V150" s="194"/>
      <c r="W150" s="194"/>
    </row>
    <row r="151" spans="17:23" x14ac:dyDescent="0.2">
      <c r="Q151" s="194">
        <f t="shared" si="10"/>
        <v>123.7</v>
      </c>
      <c r="R151" s="194"/>
      <c r="S151" s="194"/>
      <c r="T151" s="194"/>
      <c r="U151" s="194"/>
      <c r="V151" s="194"/>
      <c r="W151" s="194"/>
    </row>
    <row r="152" spans="17:23" x14ac:dyDescent="0.2">
      <c r="Q152" s="194">
        <f t="shared" si="10"/>
        <v>123.7</v>
      </c>
      <c r="R152" s="194"/>
      <c r="S152" s="194"/>
      <c r="T152" s="194"/>
      <c r="U152" s="194"/>
      <c r="V152" s="194"/>
      <c r="W152" s="194"/>
    </row>
    <row r="153" spans="17:23" x14ac:dyDescent="0.2">
      <c r="Q153" s="194">
        <f t="shared" si="10"/>
        <v>123.7</v>
      </c>
      <c r="R153" s="194"/>
      <c r="S153" s="194"/>
      <c r="T153" s="194"/>
      <c r="U153" s="194"/>
      <c r="V153" s="194"/>
      <c r="W153" s="194"/>
    </row>
  </sheetData>
  <mergeCells count="2">
    <mergeCell ref="Y1:Z1"/>
    <mergeCell ref="AB1:A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85"/>
  <sheetViews>
    <sheetView zoomScale="98" zoomScaleNormal="98" zoomScalePageLayoutView="98" workbookViewId="0">
      <pane ySplit="4" topLeftCell="A5" activePane="bottomLeft" state="frozen"/>
      <selection activeCell="B3" sqref="B3:M4"/>
      <selection pane="bottomLeft" activeCell="B3" sqref="B3:M4"/>
    </sheetView>
  </sheetViews>
  <sheetFormatPr baseColWidth="10" defaultColWidth="8.83203125" defaultRowHeight="15" x14ac:dyDescent="0.2"/>
  <cols>
    <col min="1" max="1" width="12.1640625" style="2" customWidth="1"/>
    <col min="2" max="2" width="9.6640625" style="13" customWidth="1"/>
    <col min="3" max="3" width="8.83203125" style="13"/>
    <col min="4" max="4" width="12.33203125" style="13" bestFit="1" customWidth="1"/>
    <col min="5" max="5" width="10.1640625" style="13" customWidth="1"/>
    <col min="6" max="6" width="8.83203125" style="13"/>
    <col min="7" max="7" width="12.33203125" style="13" bestFit="1" customWidth="1"/>
    <col min="8" max="9" width="8.83203125" style="13"/>
    <col min="10" max="10" width="12.33203125" style="13" bestFit="1" customWidth="1"/>
    <col min="11" max="12" width="8.83203125" style="13"/>
    <col min="13" max="13" width="12.33203125" style="15" bestFit="1" customWidth="1"/>
    <col min="14" max="14" width="12.33203125" style="15" customWidth="1"/>
    <col min="15" max="15" width="16.6640625" style="15" bestFit="1" customWidth="1"/>
    <col min="16" max="16" width="14.1640625" style="15" bestFit="1" customWidth="1"/>
    <col min="17" max="17" width="14.1640625" style="15" customWidth="1"/>
    <col min="18" max="18" width="11" style="37" bestFit="1" customWidth="1"/>
    <col min="19" max="19" width="18.5" style="37" bestFit="1" customWidth="1"/>
    <col min="20" max="20" width="15.83203125" style="37" bestFit="1" customWidth="1"/>
    <col min="21" max="21" width="14.5" style="25" bestFit="1" customWidth="1"/>
    <col min="22" max="22" width="8.83203125" style="22"/>
    <col min="23" max="23" width="14.33203125" style="2" customWidth="1"/>
    <col min="24" max="27" width="8.83203125" style="13"/>
    <col min="28" max="28" width="9.83203125" style="13" bestFit="1" customWidth="1"/>
    <col min="29" max="29" width="15.83203125" style="25" bestFit="1" customWidth="1"/>
    <col min="30" max="31" width="8.83203125" style="16"/>
  </cols>
  <sheetData>
    <row r="1" spans="1:32" ht="26" x14ac:dyDescent="0.3">
      <c r="A1" s="24"/>
      <c r="B1" s="14" t="s">
        <v>29</v>
      </c>
      <c r="G1" s="15"/>
      <c r="H1" s="16"/>
      <c r="I1" s="16"/>
      <c r="J1" s="16"/>
      <c r="K1" s="16"/>
      <c r="L1" s="16"/>
      <c r="M1" s="16"/>
      <c r="N1" s="16"/>
      <c r="O1" s="16"/>
      <c r="P1" s="16"/>
      <c r="Q1" s="16"/>
      <c r="R1" s="35"/>
      <c r="S1" s="35"/>
      <c r="T1" s="35"/>
      <c r="W1" s="18" t="s">
        <v>30</v>
      </c>
      <c r="AC1" s="37"/>
    </row>
    <row r="2" spans="1:32" ht="24" x14ac:dyDescent="0.3">
      <c r="A2" s="24"/>
      <c r="B2" s="14"/>
      <c r="G2" s="15"/>
      <c r="H2" s="16"/>
      <c r="I2" s="16"/>
      <c r="J2" s="16"/>
      <c r="K2" s="16"/>
      <c r="L2" s="16"/>
      <c r="M2" s="16"/>
      <c r="N2" s="16"/>
      <c r="O2" s="16"/>
      <c r="P2" s="16"/>
      <c r="Q2" s="16"/>
      <c r="R2" s="35"/>
      <c r="S2" s="35"/>
      <c r="T2" s="35"/>
      <c r="W2" s="55" t="s">
        <v>167</v>
      </c>
      <c r="AC2" s="37"/>
    </row>
    <row r="3" spans="1:32" x14ac:dyDescent="0.2">
      <c r="B3" s="19" t="s">
        <v>22</v>
      </c>
      <c r="C3" s="19"/>
      <c r="D3" s="19"/>
      <c r="E3" s="19" t="s">
        <v>23</v>
      </c>
      <c r="F3" s="19"/>
      <c r="G3" s="19"/>
      <c r="H3" s="19" t="s">
        <v>24</v>
      </c>
      <c r="I3" s="19"/>
      <c r="J3" s="19"/>
      <c r="K3" s="19" t="s">
        <v>25</v>
      </c>
      <c r="L3" s="20"/>
      <c r="M3" s="21"/>
      <c r="N3" s="58" t="s">
        <v>55</v>
      </c>
      <c r="O3" s="58"/>
      <c r="P3" s="58"/>
      <c r="Q3" s="58"/>
      <c r="R3" s="36" t="s">
        <v>31</v>
      </c>
      <c r="S3" s="36" t="s">
        <v>59</v>
      </c>
      <c r="T3" s="36" t="s">
        <v>60</v>
      </c>
      <c r="U3" s="26" t="s">
        <v>56</v>
      </c>
      <c r="V3" s="23"/>
      <c r="X3" s="19" t="s">
        <v>22</v>
      </c>
      <c r="Y3" s="19" t="s">
        <v>23</v>
      </c>
      <c r="Z3" s="19" t="s">
        <v>24</v>
      </c>
      <c r="AA3" s="19" t="s">
        <v>25</v>
      </c>
      <c r="AB3" s="56" t="s">
        <v>40</v>
      </c>
      <c r="AC3" s="26" t="s">
        <v>32</v>
      </c>
    </row>
    <row r="4" spans="1:32" x14ac:dyDescent="0.2">
      <c r="A4" s="2" t="s">
        <v>35</v>
      </c>
      <c r="B4" s="27" t="s">
        <v>26</v>
      </c>
      <c r="C4" s="27" t="s">
        <v>27</v>
      </c>
      <c r="D4" s="27" t="s">
        <v>28</v>
      </c>
      <c r="E4" s="27" t="s">
        <v>26</v>
      </c>
      <c r="F4" s="27" t="s">
        <v>27</v>
      </c>
      <c r="G4" s="27" t="s">
        <v>28</v>
      </c>
      <c r="H4" s="27" t="s">
        <v>26</v>
      </c>
      <c r="I4" s="27" t="s">
        <v>27</v>
      </c>
      <c r="J4" s="27" t="s">
        <v>28</v>
      </c>
      <c r="K4" s="27" t="s">
        <v>26</v>
      </c>
      <c r="L4" s="27" t="s">
        <v>27</v>
      </c>
      <c r="M4" s="28" t="s">
        <v>28</v>
      </c>
      <c r="N4" s="56" t="s">
        <v>26</v>
      </c>
      <c r="O4" s="56" t="s">
        <v>57</v>
      </c>
      <c r="P4" s="58" t="s">
        <v>58</v>
      </c>
      <c r="Q4" s="58" t="s">
        <v>69</v>
      </c>
      <c r="R4" s="36"/>
      <c r="S4" s="36"/>
      <c r="T4" s="36"/>
      <c r="U4" s="26"/>
      <c r="V4" s="23"/>
      <c r="W4" s="2" t="s">
        <v>35</v>
      </c>
      <c r="AE4" s="17"/>
      <c r="AF4" s="1"/>
    </row>
    <row r="5" spans="1:32" x14ac:dyDescent="0.2">
      <c r="A5" s="2" t="s">
        <v>44</v>
      </c>
      <c r="B5" s="13">
        <v>15</v>
      </c>
      <c r="C5" s="13">
        <v>0</v>
      </c>
      <c r="D5" s="13">
        <v>1</v>
      </c>
      <c r="E5" s="13">
        <v>15</v>
      </c>
      <c r="F5" s="13">
        <v>0</v>
      </c>
      <c r="G5" s="13">
        <v>1</v>
      </c>
      <c r="H5" s="13">
        <v>15</v>
      </c>
      <c r="I5" s="13">
        <v>1</v>
      </c>
      <c r="J5" s="13">
        <v>0</v>
      </c>
      <c r="K5" s="13">
        <v>12</v>
      </c>
      <c r="L5" s="13">
        <v>2</v>
      </c>
      <c r="M5" s="15">
        <v>2</v>
      </c>
      <c r="N5" s="15">
        <f t="shared" ref="N5:P8" si="0">SUM(B5,E5,H5,K5)</f>
        <v>57</v>
      </c>
      <c r="O5" s="15">
        <f t="shared" si="0"/>
        <v>3</v>
      </c>
      <c r="P5" s="15">
        <f t="shared" si="0"/>
        <v>4</v>
      </c>
      <c r="Q5" s="15">
        <v>8</v>
      </c>
      <c r="R5" s="37">
        <f>(((B5+E5+H5+K5)/(16*4))*100)</f>
        <v>89.0625</v>
      </c>
      <c r="S5" s="37">
        <f>(O5/(16*4))*100</f>
        <v>4.6875</v>
      </c>
      <c r="T5" s="37">
        <f>(P5/(16*4))*100</f>
        <v>6.25</v>
      </c>
      <c r="U5" s="25">
        <f>(((C5+D5+F5+G5+I5+J5+L5+M5)/(16*4))*100)</f>
        <v>10.9375</v>
      </c>
      <c r="W5" s="2" t="s">
        <v>44</v>
      </c>
      <c r="X5" s="13">
        <v>5</v>
      </c>
      <c r="Y5" s="13">
        <v>12</v>
      </c>
      <c r="Z5" s="13">
        <v>15</v>
      </c>
      <c r="AA5" s="13">
        <v>15</v>
      </c>
      <c r="AB5" s="13">
        <f>SUM(X5,Y5,Z5,AA5)</f>
        <v>47</v>
      </c>
      <c r="AC5" s="25">
        <f>(X5+Y5+Z5+AA5)/(24+24+24+24)</f>
        <v>0.48958333333333331</v>
      </c>
    </row>
    <row r="6" spans="1:32" x14ac:dyDescent="0.2">
      <c r="A6" s="2" t="s">
        <v>45</v>
      </c>
      <c r="B6" s="13">
        <v>16</v>
      </c>
      <c r="C6" s="13">
        <v>0</v>
      </c>
      <c r="D6" s="13">
        <v>0</v>
      </c>
      <c r="E6" s="13">
        <v>16</v>
      </c>
      <c r="F6" s="13">
        <v>0</v>
      </c>
      <c r="G6" s="13">
        <v>0</v>
      </c>
      <c r="H6" s="13">
        <v>15</v>
      </c>
      <c r="I6" s="13">
        <v>1</v>
      </c>
      <c r="J6" s="13">
        <v>0</v>
      </c>
      <c r="K6" s="13">
        <v>16</v>
      </c>
      <c r="L6" s="13">
        <v>0</v>
      </c>
      <c r="M6" s="13">
        <v>0</v>
      </c>
      <c r="N6" s="15">
        <f t="shared" si="0"/>
        <v>63</v>
      </c>
      <c r="O6" s="15">
        <f t="shared" si="0"/>
        <v>1</v>
      </c>
      <c r="P6" s="15">
        <f t="shared" si="0"/>
        <v>0</v>
      </c>
      <c r="Q6" s="15">
        <v>1</v>
      </c>
      <c r="R6" s="25">
        <f>(((B6+E6+H6+K6)/(16*4))*100)</f>
        <v>98.4375</v>
      </c>
      <c r="S6" s="37">
        <f t="shared" ref="S6:S7" si="1">(O6/(16*4))*100</f>
        <v>1.5625</v>
      </c>
      <c r="T6" s="37">
        <f t="shared" ref="T6:T7" si="2">(P6/(16*4))*100</f>
        <v>0</v>
      </c>
      <c r="U6" s="25">
        <f>(((C6+D6+F6+G6+I6+J6+L6+M6)/(16*4))*100)</f>
        <v>1.5625</v>
      </c>
      <c r="V6" s="23"/>
      <c r="W6" s="2" t="s">
        <v>45</v>
      </c>
      <c r="X6" s="13">
        <v>25</v>
      </c>
      <c r="Y6" s="13">
        <v>26</v>
      </c>
      <c r="Z6" s="13">
        <v>27</v>
      </c>
      <c r="AA6" s="13">
        <v>25</v>
      </c>
      <c r="AB6" s="13">
        <f t="shared" ref="AB6:AB9" si="3">SUM(X6,Y6,Z6,AA6)</f>
        <v>103</v>
      </c>
      <c r="AC6" s="25">
        <f>(X6+Y6+Z6+AA6)/(24+24+24+24)</f>
        <v>1.0729166666666667</v>
      </c>
    </row>
    <row r="7" spans="1:32" x14ac:dyDescent="0.2">
      <c r="A7" s="2" t="s">
        <v>46</v>
      </c>
      <c r="B7" s="13">
        <v>16</v>
      </c>
      <c r="C7" s="13">
        <v>0</v>
      </c>
      <c r="D7" s="13">
        <v>0</v>
      </c>
      <c r="E7" s="13">
        <v>15</v>
      </c>
      <c r="F7" s="13">
        <v>0</v>
      </c>
      <c r="G7" s="13">
        <v>1</v>
      </c>
      <c r="H7" s="13">
        <v>16</v>
      </c>
      <c r="I7" s="13">
        <v>0</v>
      </c>
      <c r="J7" s="13">
        <v>0</v>
      </c>
      <c r="K7" s="13">
        <v>15</v>
      </c>
      <c r="L7" s="13">
        <v>0</v>
      </c>
      <c r="M7" s="13">
        <v>1</v>
      </c>
      <c r="N7" s="15">
        <f t="shared" si="0"/>
        <v>62</v>
      </c>
      <c r="O7" s="15">
        <f t="shared" si="0"/>
        <v>0</v>
      </c>
      <c r="P7" s="15">
        <f t="shared" si="0"/>
        <v>2</v>
      </c>
      <c r="Q7" s="15">
        <v>2</v>
      </c>
      <c r="R7" s="37">
        <f>(((B7+E7+H7+K7)/(16*4))*100)</f>
        <v>96.875</v>
      </c>
      <c r="S7" s="37">
        <f t="shared" si="1"/>
        <v>0</v>
      </c>
      <c r="T7" s="37">
        <f t="shared" si="2"/>
        <v>3.125</v>
      </c>
      <c r="U7" s="25">
        <f>(((C7+D7+F7+G7+I7+J7+L7+M7)/(16*4))*100)</f>
        <v>3.125</v>
      </c>
      <c r="W7" s="2" t="s">
        <v>46</v>
      </c>
      <c r="X7" s="13">
        <v>22</v>
      </c>
      <c r="Y7" s="13">
        <v>22</v>
      </c>
      <c r="Z7" s="13">
        <v>24</v>
      </c>
      <c r="AA7" s="13">
        <v>23</v>
      </c>
      <c r="AB7" s="13">
        <f t="shared" si="3"/>
        <v>91</v>
      </c>
      <c r="AC7" s="25">
        <f>(X7+Y7+Z7+AA7)/(24+24+24+24)</f>
        <v>0.94791666666666663</v>
      </c>
    </row>
    <row r="8" spans="1:32" x14ac:dyDescent="0.2">
      <c r="A8" s="2" t="s">
        <v>97</v>
      </c>
      <c r="B8" s="29">
        <v>16</v>
      </c>
      <c r="C8" s="29">
        <v>0</v>
      </c>
      <c r="D8" s="29">
        <v>0</v>
      </c>
      <c r="E8" s="29">
        <v>15</v>
      </c>
      <c r="F8" s="29">
        <v>0</v>
      </c>
      <c r="G8" s="29">
        <v>1</v>
      </c>
      <c r="H8" s="29">
        <v>15</v>
      </c>
      <c r="I8" s="29">
        <v>0</v>
      </c>
      <c r="J8" s="29">
        <v>1</v>
      </c>
      <c r="K8" s="29">
        <v>15</v>
      </c>
      <c r="L8" s="29">
        <v>0</v>
      </c>
      <c r="M8" s="29">
        <v>1</v>
      </c>
      <c r="N8" s="15">
        <f t="shared" si="0"/>
        <v>61</v>
      </c>
      <c r="O8" s="15">
        <f t="shared" si="0"/>
        <v>0</v>
      </c>
      <c r="P8" s="15">
        <f t="shared" si="0"/>
        <v>3</v>
      </c>
      <c r="Q8" s="15">
        <v>4</v>
      </c>
      <c r="R8" s="37">
        <f>(((B8+E8+H8+K8)/(16*4))*100)</f>
        <v>95.3125</v>
      </c>
      <c r="S8" s="37">
        <f>(O8/(16*4))*100</f>
        <v>0</v>
      </c>
      <c r="T8" s="37">
        <f>(P8/(16*4))*100</f>
        <v>4.6875</v>
      </c>
      <c r="U8" s="25">
        <f>(((C8+D8+F8+G8+I8+J8+L8+M8)/(16*4))*100)</f>
        <v>4.6875</v>
      </c>
      <c r="W8" s="2" t="s">
        <v>97</v>
      </c>
      <c r="X8" s="13">
        <v>23</v>
      </c>
      <c r="Y8" s="13">
        <v>21</v>
      </c>
      <c r="Z8" s="13">
        <v>20</v>
      </c>
      <c r="AA8" s="13">
        <v>19</v>
      </c>
      <c r="AB8" s="13">
        <f t="shared" si="3"/>
        <v>83</v>
      </c>
      <c r="AC8" s="25">
        <f>(X8+Y8+Z8+AA8)/(24+24+24+24)</f>
        <v>0.86458333333333337</v>
      </c>
    </row>
    <row r="9" spans="1:32" x14ac:dyDescent="0.2">
      <c r="A9" s="2" t="s">
        <v>99</v>
      </c>
      <c r="B9" s="13">
        <v>16</v>
      </c>
      <c r="C9" s="13">
        <v>0</v>
      </c>
      <c r="D9" s="13">
        <v>0</v>
      </c>
      <c r="E9" s="13">
        <v>15</v>
      </c>
      <c r="F9" s="13">
        <v>0</v>
      </c>
      <c r="G9" s="13">
        <v>1</v>
      </c>
      <c r="H9" s="13">
        <v>16</v>
      </c>
      <c r="I9" s="13">
        <v>0</v>
      </c>
      <c r="J9" s="13">
        <v>0</v>
      </c>
      <c r="K9" s="13">
        <v>16</v>
      </c>
      <c r="L9" s="13">
        <v>0</v>
      </c>
      <c r="M9" s="15">
        <v>0</v>
      </c>
      <c r="N9" s="15">
        <v>63</v>
      </c>
      <c r="O9" s="15">
        <v>0</v>
      </c>
      <c r="P9" s="15">
        <v>1</v>
      </c>
      <c r="Q9" s="15">
        <v>1</v>
      </c>
      <c r="R9" s="37">
        <f>(63/64)*100</f>
        <v>98.4375</v>
      </c>
      <c r="S9" s="37">
        <v>0</v>
      </c>
      <c r="T9" s="37">
        <f>(1/64)*100</f>
        <v>1.5625</v>
      </c>
      <c r="U9" s="25">
        <f>(1/64)*100</f>
        <v>1.5625</v>
      </c>
      <c r="W9" s="2" t="s">
        <v>99</v>
      </c>
      <c r="X9" s="13">
        <v>18</v>
      </c>
      <c r="Y9" s="13">
        <v>18</v>
      </c>
      <c r="Z9" s="13">
        <v>18</v>
      </c>
      <c r="AA9" s="13">
        <v>17</v>
      </c>
      <c r="AB9" s="13">
        <f t="shared" si="3"/>
        <v>71</v>
      </c>
      <c r="AC9" s="25">
        <f>(X9+Y9+Z9+AA9)/(24+24+24+24)</f>
        <v>0.73958333333333337</v>
      </c>
    </row>
    <row r="10" spans="1:32" x14ac:dyDescent="0.2">
      <c r="A10" s="2" t="s">
        <v>108</v>
      </c>
      <c r="B10" s="13">
        <v>16</v>
      </c>
      <c r="C10" s="13">
        <v>0</v>
      </c>
      <c r="D10" s="13">
        <v>0</v>
      </c>
      <c r="E10" s="13">
        <v>16</v>
      </c>
      <c r="F10" s="13">
        <v>0</v>
      </c>
      <c r="G10" s="13">
        <v>0</v>
      </c>
      <c r="H10" s="13">
        <v>16</v>
      </c>
      <c r="I10" s="13">
        <v>0</v>
      </c>
      <c r="J10" s="13">
        <v>0</v>
      </c>
      <c r="K10" s="13">
        <v>16</v>
      </c>
      <c r="L10" s="13">
        <v>0</v>
      </c>
      <c r="M10" s="15">
        <v>0</v>
      </c>
      <c r="N10" s="15">
        <v>64</v>
      </c>
      <c r="O10" s="15">
        <v>0</v>
      </c>
      <c r="P10" s="15">
        <v>0</v>
      </c>
      <c r="Q10" s="15">
        <v>0</v>
      </c>
      <c r="R10" s="37">
        <v>100</v>
      </c>
      <c r="S10" s="37">
        <v>0</v>
      </c>
      <c r="T10" s="37">
        <v>0</v>
      </c>
      <c r="U10" s="25">
        <v>0</v>
      </c>
      <c r="W10" s="2" t="s">
        <v>108</v>
      </c>
      <c r="X10" s="13">
        <v>13</v>
      </c>
      <c r="Y10" s="13">
        <v>13</v>
      </c>
      <c r="Z10" s="13">
        <v>13</v>
      </c>
      <c r="AA10" s="13">
        <v>13</v>
      </c>
      <c r="AB10" s="13">
        <f>SUM(X10:AA10)</f>
        <v>52</v>
      </c>
      <c r="AC10" s="25">
        <f t="shared" ref="AC10:AC24" si="4">AB10/(24*4)</f>
        <v>0.54166666666666663</v>
      </c>
    </row>
    <row r="11" spans="1:32" x14ac:dyDescent="0.2">
      <c r="A11" s="2" t="s">
        <v>109</v>
      </c>
      <c r="B11" s="13">
        <v>14</v>
      </c>
      <c r="C11" s="13">
        <v>1</v>
      </c>
      <c r="D11" s="13">
        <v>1</v>
      </c>
      <c r="E11" s="13">
        <v>16</v>
      </c>
      <c r="F11" s="13">
        <v>0</v>
      </c>
      <c r="G11" s="13">
        <v>0</v>
      </c>
      <c r="H11" s="13">
        <v>16</v>
      </c>
      <c r="I11" s="13">
        <v>0</v>
      </c>
      <c r="J11" s="13">
        <v>0</v>
      </c>
      <c r="K11" s="13">
        <v>16</v>
      </c>
      <c r="L11" s="13">
        <v>0</v>
      </c>
      <c r="M11" s="13">
        <v>0</v>
      </c>
      <c r="N11" s="15">
        <f t="shared" ref="N11" si="5">SUM(B11,E11,H11,K11)</f>
        <v>62</v>
      </c>
      <c r="O11" s="15">
        <v>1</v>
      </c>
      <c r="P11" s="15">
        <v>1</v>
      </c>
      <c r="Q11" s="15">
        <v>2</v>
      </c>
      <c r="R11" s="37">
        <f>(62/64)*100</f>
        <v>96.875</v>
      </c>
      <c r="S11" s="37">
        <f>(1/64)*100</f>
        <v>1.5625</v>
      </c>
      <c r="T11" s="37">
        <f>(1/64)*100</f>
        <v>1.5625</v>
      </c>
      <c r="U11" s="25">
        <f>S11+T11</f>
        <v>3.125</v>
      </c>
      <c r="W11" s="2" t="s">
        <v>109</v>
      </c>
      <c r="X11" s="223">
        <v>3</v>
      </c>
      <c r="Y11" s="223">
        <v>1</v>
      </c>
      <c r="Z11" s="223">
        <v>2</v>
      </c>
      <c r="AA11" s="223">
        <v>1</v>
      </c>
      <c r="AB11" s="223">
        <v>7</v>
      </c>
      <c r="AC11" s="224">
        <f t="shared" si="4"/>
        <v>7.2916666666666671E-2</v>
      </c>
      <c r="AD11" s="16" t="s">
        <v>246</v>
      </c>
    </row>
    <row r="12" spans="1:32" x14ac:dyDescent="0.2">
      <c r="A12" s="2" t="s">
        <v>110</v>
      </c>
      <c r="B12" s="13">
        <v>15</v>
      </c>
      <c r="C12" s="13">
        <v>0</v>
      </c>
      <c r="D12" s="13">
        <v>1</v>
      </c>
      <c r="E12" s="13">
        <v>16</v>
      </c>
      <c r="F12" s="13">
        <v>0</v>
      </c>
      <c r="G12" s="13">
        <v>0</v>
      </c>
      <c r="H12" s="13">
        <v>16</v>
      </c>
      <c r="I12" s="13">
        <v>0</v>
      </c>
      <c r="J12" s="13">
        <v>0</v>
      </c>
      <c r="K12" s="13">
        <v>16</v>
      </c>
      <c r="L12" s="13">
        <v>0</v>
      </c>
      <c r="M12" s="15">
        <v>0</v>
      </c>
      <c r="N12" s="15">
        <v>63</v>
      </c>
      <c r="O12" s="15">
        <v>0</v>
      </c>
      <c r="P12" s="15">
        <v>1</v>
      </c>
      <c r="Q12" s="15">
        <v>1</v>
      </c>
      <c r="R12" s="37">
        <f>(63/64)*100</f>
        <v>98.4375</v>
      </c>
      <c r="S12" s="37">
        <v>0</v>
      </c>
      <c r="T12" s="37">
        <f>(1/64)*100</f>
        <v>1.5625</v>
      </c>
      <c r="U12" s="25">
        <v>1.56</v>
      </c>
      <c r="W12" s="2" t="s">
        <v>110</v>
      </c>
      <c r="X12" s="13">
        <v>24</v>
      </c>
      <c r="Y12" s="13">
        <v>25</v>
      </c>
      <c r="Z12" s="13">
        <v>26</v>
      </c>
      <c r="AA12" s="13">
        <v>25</v>
      </c>
      <c r="AB12" s="13">
        <f>SUM(X12:AA12)</f>
        <v>100</v>
      </c>
      <c r="AC12" s="25">
        <f t="shared" si="4"/>
        <v>1.0416666666666667</v>
      </c>
    </row>
    <row r="13" spans="1:32" x14ac:dyDescent="0.2">
      <c r="A13" s="2" t="s">
        <v>111</v>
      </c>
      <c r="B13" s="13">
        <v>15</v>
      </c>
      <c r="C13" s="13">
        <v>0</v>
      </c>
      <c r="D13" s="13">
        <v>1</v>
      </c>
      <c r="E13" s="13">
        <v>13</v>
      </c>
      <c r="F13" s="13">
        <v>1</v>
      </c>
      <c r="G13" s="13">
        <v>2</v>
      </c>
      <c r="H13" s="13">
        <v>16</v>
      </c>
      <c r="I13" s="13">
        <v>0</v>
      </c>
      <c r="J13" s="13">
        <v>0</v>
      </c>
      <c r="K13" s="13">
        <v>14</v>
      </c>
      <c r="L13" s="13">
        <v>0</v>
      </c>
      <c r="M13" s="15">
        <v>2</v>
      </c>
      <c r="N13" s="15">
        <f t="shared" ref="N13:P14" si="6">SUM(B13,E13,H13,K13)</f>
        <v>58</v>
      </c>
      <c r="O13" s="15">
        <f t="shared" si="6"/>
        <v>1</v>
      </c>
      <c r="P13" s="15">
        <f t="shared" si="6"/>
        <v>5</v>
      </c>
      <c r="Q13" s="15">
        <v>6</v>
      </c>
      <c r="R13" s="37">
        <f>(58/64)*100</f>
        <v>90.625</v>
      </c>
      <c r="S13" s="37">
        <f>(1/64)*100</f>
        <v>1.5625</v>
      </c>
      <c r="T13" s="37">
        <f>(5/64)*100</f>
        <v>7.8125</v>
      </c>
      <c r="U13" s="25">
        <f>SUM(S13:T13)</f>
        <v>9.375</v>
      </c>
      <c r="W13" s="2" t="s">
        <v>111</v>
      </c>
      <c r="X13" s="13">
        <v>18</v>
      </c>
      <c r="Y13" s="13">
        <v>20</v>
      </c>
      <c r="Z13" s="13">
        <v>21</v>
      </c>
      <c r="AA13" s="13">
        <v>23</v>
      </c>
      <c r="AB13" s="13">
        <f>SUM(X13:AA13)</f>
        <v>82</v>
      </c>
      <c r="AC13" s="25">
        <f t="shared" si="4"/>
        <v>0.85416666666666663</v>
      </c>
    </row>
    <row r="14" spans="1:32" x14ac:dyDescent="0.2">
      <c r="A14" s="2" t="s">
        <v>112</v>
      </c>
      <c r="B14" s="13">
        <v>15</v>
      </c>
      <c r="C14" s="13">
        <v>1</v>
      </c>
      <c r="D14" s="13">
        <v>0</v>
      </c>
      <c r="E14" s="13">
        <v>15</v>
      </c>
      <c r="F14" s="13">
        <v>0</v>
      </c>
      <c r="G14" s="13">
        <v>1</v>
      </c>
      <c r="H14" s="13">
        <v>16</v>
      </c>
      <c r="I14" s="13">
        <v>0</v>
      </c>
      <c r="J14" s="13">
        <v>0</v>
      </c>
      <c r="K14" s="13">
        <v>15</v>
      </c>
      <c r="L14" s="13">
        <v>0</v>
      </c>
      <c r="M14" s="15">
        <v>1</v>
      </c>
      <c r="N14" s="15">
        <f t="shared" si="6"/>
        <v>61</v>
      </c>
      <c r="O14" s="15">
        <f t="shared" si="6"/>
        <v>1</v>
      </c>
      <c r="P14" s="15">
        <f t="shared" si="6"/>
        <v>2</v>
      </c>
      <c r="Q14" s="15">
        <v>3</v>
      </c>
      <c r="R14" s="37">
        <f>(61/64)*100</f>
        <v>95.3125</v>
      </c>
      <c r="S14" s="37">
        <f>(1/64)*100</f>
        <v>1.5625</v>
      </c>
      <c r="T14" s="37">
        <f>(2/64)*100</f>
        <v>3.125</v>
      </c>
      <c r="U14" s="25">
        <f>S14+T14</f>
        <v>4.6875</v>
      </c>
      <c r="W14" s="2" t="s">
        <v>112</v>
      </c>
      <c r="X14" s="13">
        <v>18</v>
      </c>
      <c r="Y14" s="13">
        <v>16</v>
      </c>
      <c r="Z14" s="13">
        <v>16</v>
      </c>
      <c r="AA14" s="13">
        <v>16</v>
      </c>
      <c r="AB14" s="13">
        <f>SUM(X14:AA14)</f>
        <v>66</v>
      </c>
      <c r="AC14" s="25">
        <f t="shared" si="4"/>
        <v>0.6875</v>
      </c>
    </row>
    <row r="15" spans="1:32" x14ac:dyDescent="0.2">
      <c r="A15" s="2" t="s">
        <v>113</v>
      </c>
      <c r="B15" s="13">
        <v>16</v>
      </c>
      <c r="C15" s="13">
        <v>0</v>
      </c>
      <c r="D15" s="13">
        <v>0</v>
      </c>
      <c r="E15" s="13">
        <v>16</v>
      </c>
      <c r="F15" s="13">
        <v>0</v>
      </c>
      <c r="G15" s="13">
        <v>0</v>
      </c>
      <c r="H15" s="13">
        <v>16</v>
      </c>
      <c r="I15" s="13">
        <v>0</v>
      </c>
      <c r="J15" s="13">
        <v>0</v>
      </c>
      <c r="K15" s="13">
        <v>16</v>
      </c>
      <c r="L15" s="13">
        <v>0</v>
      </c>
      <c r="M15" s="13">
        <v>0</v>
      </c>
      <c r="N15" s="15">
        <v>64</v>
      </c>
      <c r="O15" s="15">
        <v>0</v>
      </c>
      <c r="P15" s="15">
        <v>0</v>
      </c>
      <c r="Q15" s="15">
        <v>0</v>
      </c>
      <c r="R15" s="37">
        <v>100</v>
      </c>
      <c r="S15" s="37">
        <v>0</v>
      </c>
      <c r="T15" s="37">
        <v>0</v>
      </c>
      <c r="U15" s="25">
        <v>0</v>
      </c>
      <c r="W15" s="2" t="s">
        <v>113</v>
      </c>
      <c r="X15" s="13">
        <v>35</v>
      </c>
      <c r="Y15" s="13">
        <v>29</v>
      </c>
      <c r="Z15" s="13">
        <v>23</v>
      </c>
      <c r="AA15" s="13">
        <v>23</v>
      </c>
      <c r="AB15" s="13">
        <f>SUM(X15:AA15)</f>
        <v>110</v>
      </c>
      <c r="AC15" s="25">
        <f t="shared" si="4"/>
        <v>1.1458333333333333</v>
      </c>
    </row>
    <row r="16" spans="1:32" x14ac:dyDescent="0.2">
      <c r="A16" s="2" t="s">
        <v>114</v>
      </c>
      <c r="B16" s="13">
        <v>15</v>
      </c>
      <c r="C16" s="13">
        <v>0</v>
      </c>
      <c r="D16" s="13">
        <v>1</v>
      </c>
      <c r="E16" s="13">
        <v>16</v>
      </c>
      <c r="F16" s="13">
        <v>0</v>
      </c>
      <c r="G16" s="13">
        <v>0</v>
      </c>
      <c r="H16" s="13">
        <v>16</v>
      </c>
      <c r="I16" s="13">
        <v>0</v>
      </c>
      <c r="J16" s="13">
        <v>0</v>
      </c>
      <c r="K16" s="29">
        <v>16</v>
      </c>
      <c r="L16" s="29">
        <v>0</v>
      </c>
      <c r="M16" s="15">
        <v>0</v>
      </c>
      <c r="N16" s="15">
        <v>63</v>
      </c>
      <c r="O16" s="15">
        <v>0</v>
      </c>
      <c r="P16" s="15">
        <v>1</v>
      </c>
      <c r="Q16" s="15">
        <v>1</v>
      </c>
      <c r="R16" s="37">
        <f>(63/64)*100</f>
        <v>98.4375</v>
      </c>
      <c r="S16" s="37">
        <v>0</v>
      </c>
      <c r="T16" s="37">
        <f>(1/64)*100</f>
        <v>1.5625</v>
      </c>
      <c r="U16" s="25">
        <f>(1/64)*100</f>
        <v>1.5625</v>
      </c>
      <c r="W16" s="2" t="s">
        <v>114</v>
      </c>
      <c r="X16" s="223">
        <v>1</v>
      </c>
      <c r="Y16" s="223">
        <v>1</v>
      </c>
      <c r="Z16" s="223">
        <v>1</v>
      </c>
      <c r="AA16" s="223">
        <v>1</v>
      </c>
      <c r="AB16" s="223">
        <f>SUM(X16:AA16)</f>
        <v>4</v>
      </c>
      <c r="AC16" s="224">
        <f t="shared" si="4"/>
        <v>4.1666666666666664E-2</v>
      </c>
      <c r="AD16" s="16" t="s">
        <v>246</v>
      </c>
    </row>
    <row r="17" spans="1:30" x14ac:dyDescent="0.2">
      <c r="A17" s="2" t="s">
        <v>115</v>
      </c>
      <c r="B17" s="13">
        <v>15</v>
      </c>
      <c r="C17" s="13">
        <v>1</v>
      </c>
      <c r="D17" s="13">
        <v>0</v>
      </c>
      <c r="E17" s="13">
        <v>16</v>
      </c>
      <c r="F17" s="13">
        <v>0</v>
      </c>
      <c r="G17" s="13">
        <v>0</v>
      </c>
      <c r="H17" s="13">
        <v>16</v>
      </c>
      <c r="I17" s="13">
        <v>0</v>
      </c>
      <c r="J17" s="13">
        <v>0</v>
      </c>
      <c r="K17" s="13">
        <v>16</v>
      </c>
      <c r="L17" s="13">
        <v>0</v>
      </c>
      <c r="M17" s="15">
        <v>0</v>
      </c>
      <c r="N17" s="15">
        <v>63</v>
      </c>
      <c r="O17" s="15">
        <v>1</v>
      </c>
      <c r="P17" s="15">
        <v>0</v>
      </c>
      <c r="Q17" s="15">
        <v>1</v>
      </c>
      <c r="R17" s="37">
        <f>(63/64)*100</f>
        <v>98.4375</v>
      </c>
      <c r="S17" s="37">
        <f>(1/64)*100</f>
        <v>1.5625</v>
      </c>
      <c r="T17" s="37">
        <v>0</v>
      </c>
      <c r="U17" s="25">
        <f>(1/64)*100</f>
        <v>1.5625</v>
      </c>
      <c r="W17" s="2" t="s">
        <v>115</v>
      </c>
      <c r="X17" s="13">
        <v>25</v>
      </c>
      <c r="Y17" s="13">
        <v>18</v>
      </c>
      <c r="Z17" s="13">
        <v>17</v>
      </c>
      <c r="AA17" s="13">
        <v>17</v>
      </c>
      <c r="AB17" s="13">
        <f t="shared" ref="AB17:AB24" si="7">SUM(X17:AA17)</f>
        <v>77</v>
      </c>
      <c r="AC17" s="25">
        <f t="shared" si="4"/>
        <v>0.80208333333333337</v>
      </c>
    </row>
    <row r="18" spans="1:30" x14ac:dyDescent="0.2">
      <c r="A18" s="2" t="s">
        <v>116</v>
      </c>
      <c r="B18" s="13">
        <v>16</v>
      </c>
      <c r="C18" s="13">
        <v>0</v>
      </c>
      <c r="D18" s="13">
        <v>0</v>
      </c>
      <c r="E18" s="13">
        <v>16</v>
      </c>
      <c r="F18" s="13">
        <v>0</v>
      </c>
      <c r="G18" s="13">
        <v>0</v>
      </c>
      <c r="H18" s="13">
        <v>16</v>
      </c>
      <c r="I18" s="13">
        <v>0</v>
      </c>
      <c r="J18" s="13">
        <v>0</v>
      </c>
      <c r="K18" s="13">
        <v>16</v>
      </c>
      <c r="L18" s="13">
        <v>0</v>
      </c>
      <c r="M18" s="15">
        <v>0</v>
      </c>
      <c r="N18" s="15">
        <v>64</v>
      </c>
      <c r="O18" s="15">
        <v>0</v>
      </c>
      <c r="P18" s="15">
        <v>0</v>
      </c>
      <c r="Q18" s="15">
        <v>0</v>
      </c>
      <c r="R18" s="37">
        <v>100</v>
      </c>
      <c r="S18" s="37">
        <v>0</v>
      </c>
      <c r="T18" s="37">
        <v>0</v>
      </c>
      <c r="U18" s="25">
        <v>0</v>
      </c>
      <c r="W18" s="2" t="s">
        <v>116</v>
      </c>
      <c r="X18" s="13">
        <v>20</v>
      </c>
      <c r="Y18" s="13">
        <v>22</v>
      </c>
      <c r="Z18" s="13">
        <v>22</v>
      </c>
      <c r="AA18" s="13">
        <v>24</v>
      </c>
      <c r="AB18" s="13">
        <f t="shared" si="7"/>
        <v>88</v>
      </c>
      <c r="AC18" s="25">
        <f t="shared" si="4"/>
        <v>0.91666666666666663</v>
      </c>
    </row>
    <row r="19" spans="1:30" x14ac:dyDescent="0.2">
      <c r="A19" s="2" t="s">
        <v>117</v>
      </c>
      <c r="B19" s="13">
        <v>16</v>
      </c>
      <c r="C19" s="13">
        <v>0</v>
      </c>
      <c r="D19" s="13">
        <v>0</v>
      </c>
      <c r="E19" s="13">
        <v>16</v>
      </c>
      <c r="F19" s="13">
        <v>0</v>
      </c>
      <c r="G19" s="13">
        <v>0</v>
      </c>
      <c r="H19" s="13">
        <v>16</v>
      </c>
      <c r="I19" s="13">
        <v>0</v>
      </c>
      <c r="J19" s="13">
        <v>0</v>
      </c>
      <c r="K19" s="13">
        <v>16</v>
      </c>
      <c r="L19" s="13">
        <v>0</v>
      </c>
      <c r="M19" s="15">
        <v>0</v>
      </c>
      <c r="N19" s="15">
        <v>64</v>
      </c>
      <c r="O19" s="15">
        <v>0</v>
      </c>
      <c r="P19" s="15">
        <v>0</v>
      </c>
      <c r="Q19" s="15">
        <v>0</v>
      </c>
      <c r="R19" s="37">
        <v>100</v>
      </c>
      <c r="S19" s="37">
        <v>0</v>
      </c>
      <c r="T19" s="37">
        <v>0</v>
      </c>
      <c r="U19" s="25">
        <v>0</v>
      </c>
      <c r="W19" s="2" t="s">
        <v>117</v>
      </c>
      <c r="X19" s="13">
        <v>17</v>
      </c>
      <c r="Y19" s="13">
        <v>18</v>
      </c>
      <c r="Z19" s="13">
        <v>18</v>
      </c>
      <c r="AA19" s="13">
        <v>17</v>
      </c>
      <c r="AB19" s="83">
        <f t="shared" si="7"/>
        <v>70</v>
      </c>
      <c r="AC19" s="236">
        <f t="shared" si="4"/>
        <v>0.72916666666666663</v>
      </c>
    </row>
    <row r="20" spans="1:30" x14ac:dyDescent="0.2">
      <c r="A20" s="2" t="s">
        <v>171</v>
      </c>
      <c r="B20" s="13">
        <v>16</v>
      </c>
      <c r="C20" s="13">
        <v>0</v>
      </c>
      <c r="D20" s="13">
        <v>0</v>
      </c>
      <c r="E20" s="13">
        <v>16</v>
      </c>
      <c r="F20" s="13">
        <v>0</v>
      </c>
      <c r="G20" s="13">
        <v>0</v>
      </c>
      <c r="H20" s="13">
        <v>15</v>
      </c>
      <c r="I20" s="13">
        <v>1</v>
      </c>
      <c r="J20" s="13">
        <v>0</v>
      </c>
      <c r="K20" s="13">
        <v>16</v>
      </c>
      <c r="L20" s="13">
        <v>0</v>
      </c>
      <c r="M20" s="15">
        <v>0</v>
      </c>
      <c r="N20" s="15">
        <v>63</v>
      </c>
      <c r="O20" s="15">
        <v>1</v>
      </c>
      <c r="P20" s="15">
        <v>0</v>
      </c>
      <c r="Q20" s="15">
        <v>1</v>
      </c>
      <c r="R20" s="37">
        <f>(63/64)*100</f>
        <v>98.4375</v>
      </c>
      <c r="S20" s="37">
        <f>(1/64)*100</f>
        <v>1.5625</v>
      </c>
      <c r="T20" s="37">
        <v>0</v>
      </c>
      <c r="U20" s="25">
        <f>(1/64)*100</f>
        <v>1.5625</v>
      </c>
      <c r="W20" s="2" t="s">
        <v>171</v>
      </c>
      <c r="X20" s="13">
        <v>18</v>
      </c>
      <c r="Y20" s="13">
        <v>15</v>
      </c>
      <c r="Z20" s="13">
        <v>15</v>
      </c>
      <c r="AA20" s="13">
        <v>18</v>
      </c>
      <c r="AB20" s="83">
        <f t="shared" si="7"/>
        <v>66</v>
      </c>
      <c r="AC20" s="236">
        <f t="shared" si="4"/>
        <v>0.6875</v>
      </c>
    </row>
    <row r="21" spans="1:30" x14ac:dyDescent="0.2">
      <c r="A21" s="2" t="s">
        <v>172</v>
      </c>
      <c r="B21" s="13">
        <v>16</v>
      </c>
      <c r="C21" s="13">
        <v>0</v>
      </c>
      <c r="D21" s="13">
        <v>0</v>
      </c>
      <c r="E21" s="13">
        <v>16</v>
      </c>
      <c r="F21" s="13">
        <v>0</v>
      </c>
      <c r="G21" s="13">
        <v>0</v>
      </c>
      <c r="H21" s="13">
        <v>16</v>
      </c>
      <c r="I21" s="13">
        <v>0</v>
      </c>
      <c r="J21" s="13">
        <v>0</v>
      </c>
      <c r="K21" s="13">
        <v>16</v>
      </c>
      <c r="L21" s="13">
        <v>0</v>
      </c>
      <c r="M21" s="15">
        <v>0</v>
      </c>
      <c r="N21" s="15">
        <v>64</v>
      </c>
      <c r="O21" s="15">
        <v>0</v>
      </c>
      <c r="P21" s="15">
        <v>0</v>
      </c>
      <c r="Q21" s="15">
        <v>0</v>
      </c>
      <c r="R21" s="37">
        <v>100</v>
      </c>
      <c r="S21" s="37">
        <v>0</v>
      </c>
      <c r="T21" s="37">
        <v>0</v>
      </c>
      <c r="U21" s="25">
        <v>0</v>
      </c>
      <c r="W21" s="2" t="s">
        <v>172</v>
      </c>
      <c r="X21" s="13">
        <v>19</v>
      </c>
      <c r="Y21" s="13">
        <v>17</v>
      </c>
      <c r="Z21" s="13">
        <v>16</v>
      </c>
      <c r="AA21" s="13">
        <v>15</v>
      </c>
      <c r="AB21" s="83">
        <f t="shared" si="7"/>
        <v>67</v>
      </c>
      <c r="AC21" s="236">
        <f t="shared" si="4"/>
        <v>0.69791666666666663</v>
      </c>
    </row>
    <row r="22" spans="1:30" x14ac:dyDescent="0.2">
      <c r="A22" s="2" t="s">
        <v>173</v>
      </c>
      <c r="B22" s="13">
        <v>15</v>
      </c>
      <c r="C22" s="13">
        <v>0</v>
      </c>
      <c r="D22" s="13">
        <v>1</v>
      </c>
      <c r="E22" s="13">
        <v>16</v>
      </c>
      <c r="F22" s="13">
        <v>0</v>
      </c>
      <c r="G22" s="13">
        <v>0</v>
      </c>
      <c r="H22" s="13">
        <v>15</v>
      </c>
      <c r="I22" s="13">
        <v>0</v>
      </c>
      <c r="J22" s="13">
        <v>1</v>
      </c>
      <c r="K22" s="13">
        <v>15</v>
      </c>
      <c r="L22" s="13">
        <v>0</v>
      </c>
      <c r="M22" s="15">
        <v>1</v>
      </c>
      <c r="N22" s="15">
        <v>61</v>
      </c>
      <c r="O22" s="15">
        <v>0</v>
      </c>
      <c r="P22" s="15">
        <v>3</v>
      </c>
      <c r="Q22" s="15">
        <v>3</v>
      </c>
      <c r="R22" s="37">
        <f>(61/64)*100</f>
        <v>95.3125</v>
      </c>
      <c r="S22" s="37">
        <v>0</v>
      </c>
      <c r="T22" s="37">
        <f>(3/64)*100</f>
        <v>4.6875</v>
      </c>
      <c r="U22" s="25">
        <f>(3/64)*100</f>
        <v>4.6875</v>
      </c>
      <c r="W22" s="2" t="s">
        <v>173</v>
      </c>
      <c r="X22" s="13">
        <v>16</v>
      </c>
      <c r="Y22" s="13">
        <v>19</v>
      </c>
      <c r="Z22" s="13">
        <v>19</v>
      </c>
      <c r="AA22" s="13">
        <v>20</v>
      </c>
      <c r="AB22" s="83">
        <f t="shared" si="7"/>
        <v>74</v>
      </c>
      <c r="AC22" s="236">
        <f t="shared" si="4"/>
        <v>0.77083333333333337</v>
      </c>
    </row>
    <row r="23" spans="1:30" x14ac:dyDescent="0.2">
      <c r="A23" s="2" t="s">
        <v>199</v>
      </c>
      <c r="B23" s="13">
        <v>14</v>
      </c>
      <c r="C23" s="13">
        <v>1</v>
      </c>
      <c r="D23" s="13">
        <v>1</v>
      </c>
      <c r="E23" s="13">
        <v>16</v>
      </c>
      <c r="F23" s="13">
        <v>0</v>
      </c>
      <c r="G23" s="13">
        <v>0</v>
      </c>
      <c r="H23" s="13">
        <v>16</v>
      </c>
      <c r="I23" s="13">
        <v>0</v>
      </c>
      <c r="J23" s="13">
        <v>0</v>
      </c>
      <c r="K23" s="13">
        <v>16</v>
      </c>
      <c r="L23" s="13">
        <v>0</v>
      </c>
      <c r="M23" s="15">
        <v>0</v>
      </c>
      <c r="N23" s="15">
        <v>62</v>
      </c>
      <c r="O23" s="15">
        <v>1</v>
      </c>
      <c r="P23" s="15">
        <v>1</v>
      </c>
      <c r="Q23" s="15">
        <v>2</v>
      </c>
      <c r="R23" s="37">
        <f>(62/64)*100</f>
        <v>96.875</v>
      </c>
      <c r="S23" s="37">
        <f>(1/64)*100</f>
        <v>1.5625</v>
      </c>
      <c r="T23" s="37">
        <f>(1/64)*100</f>
        <v>1.5625</v>
      </c>
      <c r="U23" s="25">
        <f>(2/64)*100</f>
        <v>3.125</v>
      </c>
      <c r="W23" s="2" t="s">
        <v>199</v>
      </c>
      <c r="X23" s="13">
        <v>23</v>
      </c>
      <c r="Y23" s="13">
        <v>25</v>
      </c>
      <c r="Z23" s="13">
        <v>25</v>
      </c>
      <c r="AA23" s="13">
        <v>26</v>
      </c>
      <c r="AB23" s="83">
        <f t="shared" si="7"/>
        <v>99</v>
      </c>
      <c r="AC23" s="236">
        <f t="shared" si="4"/>
        <v>1.03125</v>
      </c>
    </row>
    <row r="24" spans="1:30" x14ac:dyDescent="0.2">
      <c r="A24" s="2" t="s">
        <v>200</v>
      </c>
      <c r="B24" s="13">
        <v>16</v>
      </c>
      <c r="C24" s="13">
        <v>0</v>
      </c>
      <c r="D24" s="13">
        <v>0</v>
      </c>
      <c r="E24" s="13">
        <v>16</v>
      </c>
      <c r="F24" s="13">
        <v>0</v>
      </c>
      <c r="G24" s="13">
        <v>0</v>
      </c>
      <c r="H24" s="13">
        <v>16</v>
      </c>
      <c r="I24" s="13">
        <v>0</v>
      </c>
      <c r="J24" s="13">
        <v>0</v>
      </c>
      <c r="K24" s="13">
        <v>16</v>
      </c>
      <c r="L24" s="13">
        <v>0</v>
      </c>
      <c r="M24" s="15">
        <v>0</v>
      </c>
      <c r="N24" s="15">
        <v>64</v>
      </c>
      <c r="O24" s="15">
        <v>0</v>
      </c>
      <c r="P24" s="15">
        <v>0</v>
      </c>
      <c r="Q24" s="15">
        <v>0</v>
      </c>
      <c r="R24" s="37">
        <v>100</v>
      </c>
      <c r="S24" s="37">
        <v>0</v>
      </c>
      <c r="T24" s="37">
        <v>0</v>
      </c>
      <c r="U24" s="25">
        <v>0</v>
      </c>
      <c r="W24" s="2" t="s">
        <v>200</v>
      </c>
      <c r="X24" s="13">
        <v>16</v>
      </c>
      <c r="Y24" s="13">
        <v>18</v>
      </c>
      <c r="Z24" s="13">
        <v>20</v>
      </c>
      <c r="AA24" s="13">
        <v>17</v>
      </c>
      <c r="AB24" s="13">
        <f t="shared" si="7"/>
        <v>71</v>
      </c>
      <c r="AC24" s="25">
        <f t="shared" si="4"/>
        <v>0.73958333333333337</v>
      </c>
    </row>
    <row r="25" spans="1:30" x14ac:dyDescent="0.2">
      <c r="A25" s="2" t="s">
        <v>201</v>
      </c>
      <c r="B25" s="13">
        <v>16</v>
      </c>
      <c r="C25" s="13">
        <v>0</v>
      </c>
      <c r="D25" s="13">
        <v>0</v>
      </c>
      <c r="E25" s="13">
        <v>16</v>
      </c>
      <c r="F25" s="13">
        <v>0</v>
      </c>
      <c r="G25" s="13">
        <v>0</v>
      </c>
      <c r="H25" s="13">
        <v>16</v>
      </c>
      <c r="I25" s="13">
        <v>0</v>
      </c>
      <c r="J25" s="13">
        <v>0</v>
      </c>
      <c r="K25" s="13">
        <v>16</v>
      </c>
      <c r="L25" s="13">
        <v>0</v>
      </c>
      <c r="M25" s="15">
        <v>0</v>
      </c>
      <c r="N25" s="15">
        <v>64</v>
      </c>
      <c r="O25" s="15">
        <v>0</v>
      </c>
      <c r="P25" s="15">
        <v>0</v>
      </c>
      <c r="Q25" s="15">
        <v>0</v>
      </c>
      <c r="R25" s="37">
        <v>100</v>
      </c>
      <c r="S25" s="37">
        <v>0</v>
      </c>
      <c r="T25" s="37">
        <v>0</v>
      </c>
      <c r="U25" s="25">
        <v>0</v>
      </c>
      <c r="W25" s="2" t="s">
        <v>201</v>
      </c>
      <c r="AB25" s="83">
        <f t="shared" ref="AB25:AB26" si="8">SUM(X25:AA25)</f>
        <v>0</v>
      </c>
      <c r="AC25" s="236">
        <f t="shared" ref="AC25:AC26" si="9">AB25/(24*4)</f>
        <v>0</v>
      </c>
      <c r="AD25" s="16" t="s">
        <v>246</v>
      </c>
    </row>
    <row r="26" spans="1:30" x14ac:dyDescent="0.2">
      <c r="A26" s="2" t="s">
        <v>202</v>
      </c>
      <c r="B26" s="13">
        <v>15</v>
      </c>
      <c r="C26" s="13">
        <v>1</v>
      </c>
      <c r="D26" s="13">
        <v>0</v>
      </c>
      <c r="E26" s="13">
        <v>16</v>
      </c>
      <c r="F26" s="13">
        <v>0</v>
      </c>
      <c r="G26" s="13">
        <v>0</v>
      </c>
      <c r="H26" s="13">
        <v>16</v>
      </c>
      <c r="I26" s="13">
        <v>0</v>
      </c>
      <c r="J26" s="13">
        <v>0</v>
      </c>
      <c r="K26" s="13">
        <v>15</v>
      </c>
      <c r="L26" s="13">
        <v>0</v>
      </c>
      <c r="M26" s="15">
        <v>1</v>
      </c>
      <c r="N26" s="15">
        <v>62</v>
      </c>
      <c r="O26" s="15">
        <v>1</v>
      </c>
      <c r="P26" s="15">
        <v>1</v>
      </c>
      <c r="Q26" s="15">
        <v>2</v>
      </c>
      <c r="R26" s="37">
        <f>(62/64)*100</f>
        <v>96.875</v>
      </c>
      <c r="S26" s="37">
        <f>(1/64)*100</f>
        <v>1.5625</v>
      </c>
      <c r="T26" s="37">
        <f>(1/64)*100</f>
        <v>1.5625</v>
      </c>
      <c r="U26" s="25">
        <f>(2/64)*100</f>
        <v>3.125</v>
      </c>
      <c r="W26" s="2" t="s">
        <v>202</v>
      </c>
      <c r="X26" s="13">
        <v>15</v>
      </c>
      <c r="Y26" s="13">
        <v>15</v>
      </c>
      <c r="Z26" s="13">
        <v>15</v>
      </c>
      <c r="AA26" s="13">
        <v>14</v>
      </c>
      <c r="AB26" s="83">
        <f t="shared" si="8"/>
        <v>59</v>
      </c>
      <c r="AC26" s="236">
        <f t="shared" si="9"/>
        <v>0.61458333333333337</v>
      </c>
    </row>
    <row r="27" spans="1:30" x14ac:dyDescent="0.2">
      <c r="A27" s="2" t="s">
        <v>203</v>
      </c>
      <c r="B27" s="13">
        <v>16</v>
      </c>
      <c r="C27" s="13">
        <v>0</v>
      </c>
      <c r="D27" s="13">
        <v>0</v>
      </c>
      <c r="E27" s="13">
        <v>16</v>
      </c>
      <c r="F27" s="13">
        <v>0</v>
      </c>
      <c r="G27" s="13">
        <v>0</v>
      </c>
      <c r="H27" s="13">
        <v>16</v>
      </c>
      <c r="I27" s="13">
        <v>0</v>
      </c>
      <c r="J27" s="13">
        <v>0</v>
      </c>
      <c r="K27" s="13">
        <v>16</v>
      </c>
      <c r="L27" s="13">
        <v>0</v>
      </c>
      <c r="M27" s="15">
        <v>0</v>
      </c>
      <c r="N27" s="15">
        <v>64</v>
      </c>
      <c r="O27" s="15">
        <v>0</v>
      </c>
      <c r="P27" s="15">
        <v>0</v>
      </c>
      <c r="Q27" s="15">
        <v>0</v>
      </c>
      <c r="R27" s="37">
        <v>100</v>
      </c>
      <c r="S27" s="37">
        <v>0</v>
      </c>
      <c r="T27" s="37">
        <v>0</v>
      </c>
      <c r="U27" s="25">
        <v>0</v>
      </c>
      <c r="W27" s="2" t="s">
        <v>203</v>
      </c>
      <c r="X27" s="13">
        <v>19</v>
      </c>
      <c r="Y27" s="13">
        <v>18</v>
      </c>
      <c r="Z27" s="13">
        <v>16</v>
      </c>
      <c r="AA27" s="13">
        <v>19</v>
      </c>
      <c r="AB27" s="83">
        <f t="shared" ref="AB27:AB37" si="10">SUM(X27:AA27)</f>
        <v>72</v>
      </c>
      <c r="AC27" s="236">
        <f t="shared" ref="AC27:AC37" si="11">AB27/(24*4)</f>
        <v>0.75</v>
      </c>
    </row>
    <row r="28" spans="1:30" x14ac:dyDescent="0.2">
      <c r="A28" s="2" t="s">
        <v>204</v>
      </c>
      <c r="B28" s="13">
        <v>16</v>
      </c>
      <c r="C28" s="13">
        <v>0</v>
      </c>
      <c r="D28" s="13">
        <v>0</v>
      </c>
      <c r="E28" s="13">
        <v>16</v>
      </c>
      <c r="F28" s="13">
        <v>0</v>
      </c>
      <c r="G28" s="13">
        <v>0</v>
      </c>
      <c r="H28" s="13">
        <v>16</v>
      </c>
      <c r="I28" s="13">
        <v>0</v>
      </c>
      <c r="J28" s="13">
        <v>0</v>
      </c>
      <c r="K28" s="13">
        <v>16</v>
      </c>
      <c r="L28" s="13">
        <v>0</v>
      </c>
      <c r="M28" s="15">
        <v>0</v>
      </c>
      <c r="N28" s="15">
        <v>64</v>
      </c>
      <c r="O28" s="15">
        <v>0</v>
      </c>
      <c r="P28" s="15">
        <v>0</v>
      </c>
      <c r="Q28" s="15">
        <v>0</v>
      </c>
      <c r="R28" s="37">
        <v>100</v>
      </c>
      <c r="S28" s="37">
        <v>0</v>
      </c>
      <c r="T28" s="37">
        <v>0</v>
      </c>
      <c r="U28" s="25">
        <v>0</v>
      </c>
      <c r="W28" s="2" t="s">
        <v>204</v>
      </c>
      <c r="X28" s="13">
        <v>23</v>
      </c>
      <c r="Y28" s="13">
        <v>27</v>
      </c>
      <c r="Z28" s="13">
        <v>26</v>
      </c>
      <c r="AA28" s="13">
        <v>25</v>
      </c>
      <c r="AB28" s="83">
        <f t="shared" si="10"/>
        <v>101</v>
      </c>
      <c r="AC28" s="236">
        <f t="shared" si="11"/>
        <v>1.0520833333333333</v>
      </c>
    </row>
    <row r="29" spans="1:30" x14ac:dyDescent="0.2">
      <c r="A29" s="2" t="s">
        <v>205</v>
      </c>
      <c r="B29" s="13">
        <v>15</v>
      </c>
      <c r="C29" s="13">
        <v>0</v>
      </c>
      <c r="D29" s="13">
        <v>1</v>
      </c>
      <c r="E29" s="13">
        <v>15</v>
      </c>
      <c r="F29" s="13">
        <v>1</v>
      </c>
      <c r="G29" s="13">
        <v>0</v>
      </c>
      <c r="H29" s="13">
        <v>16</v>
      </c>
      <c r="I29" s="13">
        <v>0</v>
      </c>
      <c r="J29" s="13">
        <v>0</v>
      </c>
      <c r="K29" s="13">
        <v>16</v>
      </c>
      <c r="L29" s="13">
        <v>0</v>
      </c>
      <c r="M29" s="15">
        <v>0</v>
      </c>
      <c r="N29" s="15">
        <v>62</v>
      </c>
      <c r="O29" s="15">
        <v>1</v>
      </c>
      <c r="P29" s="15">
        <v>1</v>
      </c>
      <c r="Q29" s="15">
        <v>2</v>
      </c>
      <c r="R29" s="37">
        <f>(62/64)*100</f>
        <v>96.875</v>
      </c>
      <c r="S29" s="37">
        <f>(1/64)*100</f>
        <v>1.5625</v>
      </c>
      <c r="T29" s="37">
        <f>(1/64)*100</f>
        <v>1.5625</v>
      </c>
      <c r="U29" s="25">
        <f>(2/64)*100</f>
        <v>3.125</v>
      </c>
      <c r="W29" s="2" t="s">
        <v>205</v>
      </c>
      <c r="X29" s="13">
        <v>22</v>
      </c>
      <c r="Y29" s="13">
        <v>22</v>
      </c>
      <c r="Z29" s="13">
        <v>24</v>
      </c>
      <c r="AA29" s="13">
        <v>22</v>
      </c>
      <c r="AB29" s="83">
        <f t="shared" si="10"/>
        <v>90</v>
      </c>
      <c r="AC29" s="236">
        <f t="shared" si="11"/>
        <v>0.9375</v>
      </c>
    </row>
    <row r="30" spans="1:30" x14ac:dyDescent="0.2">
      <c r="A30" s="2" t="s">
        <v>206</v>
      </c>
      <c r="B30" s="13">
        <v>16</v>
      </c>
      <c r="C30" s="13">
        <v>0</v>
      </c>
      <c r="D30" s="13">
        <v>0</v>
      </c>
      <c r="E30" s="13">
        <v>16</v>
      </c>
      <c r="F30" s="13">
        <v>0</v>
      </c>
      <c r="G30" s="13">
        <v>0</v>
      </c>
      <c r="H30" s="13">
        <v>16</v>
      </c>
      <c r="I30" s="13">
        <v>0</v>
      </c>
      <c r="J30" s="13">
        <v>0</v>
      </c>
      <c r="K30" s="13">
        <v>16</v>
      </c>
      <c r="L30" s="13">
        <v>0</v>
      </c>
      <c r="M30" s="15">
        <v>0</v>
      </c>
      <c r="N30" s="15">
        <v>64</v>
      </c>
      <c r="O30" s="15">
        <v>0</v>
      </c>
      <c r="P30" s="15">
        <v>0</v>
      </c>
      <c r="Q30" s="15">
        <v>0</v>
      </c>
      <c r="R30" s="37">
        <v>100</v>
      </c>
      <c r="S30" s="37">
        <v>0</v>
      </c>
      <c r="T30" s="37">
        <v>0</v>
      </c>
      <c r="U30" s="25">
        <v>0</v>
      </c>
      <c r="W30" s="2" t="s">
        <v>206</v>
      </c>
      <c r="X30" s="13">
        <v>16</v>
      </c>
      <c r="Y30" s="13">
        <v>15</v>
      </c>
      <c r="Z30" s="13">
        <v>15</v>
      </c>
      <c r="AA30" s="13">
        <v>15</v>
      </c>
      <c r="AB30" s="13">
        <f t="shared" si="10"/>
        <v>61</v>
      </c>
      <c r="AC30" s="25">
        <f t="shared" si="11"/>
        <v>0.63541666666666663</v>
      </c>
    </row>
    <row r="31" spans="1:30" x14ac:dyDescent="0.2">
      <c r="A31" s="2" t="s">
        <v>207</v>
      </c>
      <c r="B31" s="13">
        <v>15</v>
      </c>
      <c r="C31" s="13">
        <v>1</v>
      </c>
      <c r="D31" s="13">
        <v>0</v>
      </c>
      <c r="E31" s="13">
        <v>16</v>
      </c>
      <c r="F31" s="13">
        <v>0</v>
      </c>
      <c r="G31" s="13">
        <v>0</v>
      </c>
      <c r="H31" s="13">
        <v>14</v>
      </c>
      <c r="I31" s="13">
        <v>1</v>
      </c>
      <c r="J31" s="13">
        <v>1</v>
      </c>
      <c r="K31" s="13">
        <v>16</v>
      </c>
      <c r="L31" s="13">
        <v>0</v>
      </c>
      <c r="M31" s="15">
        <v>0</v>
      </c>
      <c r="N31" s="15">
        <f>SUM(B31,E31,H31,K31)</f>
        <v>61</v>
      </c>
      <c r="O31" s="15">
        <v>2</v>
      </c>
      <c r="P31" s="15">
        <v>1</v>
      </c>
      <c r="Q31" s="15">
        <v>3</v>
      </c>
      <c r="R31" s="37">
        <f>(61/64)*100</f>
        <v>95.3125</v>
      </c>
      <c r="S31" s="37">
        <f>(2/64)*100</f>
        <v>3.125</v>
      </c>
      <c r="T31" s="37">
        <v>1.56</v>
      </c>
      <c r="U31" s="25">
        <f>(3/64)*100</f>
        <v>4.6875</v>
      </c>
      <c r="W31" s="2" t="s">
        <v>207</v>
      </c>
      <c r="X31" s="13">
        <v>22</v>
      </c>
      <c r="Y31" s="13">
        <v>20</v>
      </c>
      <c r="Z31" s="13">
        <v>20</v>
      </c>
      <c r="AA31" s="13">
        <v>20</v>
      </c>
      <c r="AB31" s="83">
        <f t="shared" si="10"/>
        <v>82</v>
      </c>
      <c r="AC31" s="236">
        <f t="shared" si="11"/>
        <v>0.85416666666666663</v>
      </c>
    </row>
    <row r="32" spans="1:30" x14ac:dyDescent="0.2">
      <c r="A32" s="2" t="s">
        <v>210</v>
      </c>
      <c r="B32" s="13">
        <v>14</v>
      </c>
      <c r="C32" s="13">
        <v>0</v>
      </c>
      <c r="D32" s="13">
        <v>2</v>
      </c>
      <c r="E32" s="13">
        <v>12</v>
      </c>
      <c r="F32" s="13">
        <v>0</v>
      </c>
      <c r="G32" s="13">
        <v>4</v>
      </c>
      <c r="H32" s="13">
        <v>13</v>
      </c>
      <c r="I32" s="13">
        <v>0</v>
      </c>
      <c r="J32" s="13">
        <v>3</v>
      </c>
      <c r="K32" s="13">
        <v>13</v>
      </c>
      <c r="L32" s="13">
        <v>0</v>
      </c>
      <c r="M32" s="15">
        <v>3</v>
      </c>
      <c r="N32" s="15">
        <f>SUM(B32,E32,H32,K32)</f>
        <v>52</v>
      </c>
      <c r="O32" s="15">
        <v>0</v>
      </c>
      <c r="P32" s="15">
        <v>12</v>
      </c>
      <c r="Q32" s="15">
        <v>12</v>
      </c>
      <c r="R32" s="37">
        <f>(52/64)*100</f>
        <v>81.25</v>
      </c>
      <c r="S32" s="37">
        <v>0</v>
      </c>
      <c r="T32" s="37">
        <f>(12/64)*100</f>
        <v>18.75</v>
      </c>
      <c r="U32" s="37">
        <f>(12/64)*100</f>
        <v>18.75</v>
      </c>
      <c r="W32" s="2" t="s">
        <v>210</v>
      </c>
      <c r="X32" s="13">
        <v>24</v>
      </c>
      <c r="Y32" s="13">
        <v>25</v>
      </c>
      <c r="Z32" s="13">
        <v>21</v>
      </c>
      <c r="AA32" s="13">
        <v>21</v>
      </c>
      <c r="AB32" s="83">
        <f t="shared" si="10"/>
        <v>91</v>
      </c>
      <c r="AC32" s="236">
        <f t="shared" si="11"/>
        <v>0.94791666666666663</v>
      </c>
    </row>
    <row r="33" spans="1:29" x14ac:dyDescent="0.2">
      <c r="A33" s="2" t="s">
        <v>208</v>
      </c>
      <c r="B33" s="13">
        <v>16</v>
      </c>
      <c r="C33" s="13">
        <v>0</v>
      </c>
      <c r="D33" s="13">
        <v>0</v>
      </c>
      <c r="E33" s="13">
        <v>16</v>
      </c>
      <c r="F33" s="13">
        <v>0</v>
      </c>
      <c r="G33" s="13">
        <v>0</v>
      </c>
      <c r="H33" s="13">
        <v>16</v>
      </c>
      <c r="I33" s="13">
        <v>0</v>
      </c>
      <c r="J33" s="13">
        <v>0</v>
      </c>
      <c r="K33" s="13">
        <v>16</v>
      </c>
      <c r="L33" s="13">
        <v>0</v>
      </c>
      <c r="M33" s="15">
        <v>0</v>
      </c>
      <c r="N33" s="15">
        <v>64</v>
      </c>
      <c r="O33" s="15">
        <v>0</v>
      </c>
      <c r="P33" s="15">
        <v>0</v>
      </c>
      <c r="Q33" s="15">
        <v>0</v>
      </c>
      <c r="R33" s="37">
        <v>100</v>
      </c>
      <c r="S33" s="37">
        <v>0</v>
      </c>
      <c r="T33" s="37">
        <v>0</v>
      </c>
      <c r="U33" s="25">
        <v>0</v>
      </c>
      <c r="W33" s="2" t="s">
        <v>208</v>
      </c>
      <c r="X33" s="13">
        <v>20</v>
      </c>
      <c r="Y33" s="13">
        <v>25</v>
      </c>
      <c r="Z33" s="13">
        <v>28</v>
      </c>
      <c r="AA33" s="13">
        <v>27</v>
      </c>
      <c r="AB33" s="83">
        <f t="shared" si="10"/>
        <v>100</v>
      </c>
      <c r="AC33" s="236">
        <f t="shared" si="11"/>
        <v>1.0416666666666667</v>
      </c>
    </row>
    <row r="34" spans="1:29" x14ac:dyDescent="0.2">
      <c r="A34" s="2" t="s">
        <v>209</v>
      </c>
      <c r="B34" s="13">
        <v>16</v>
      </c>
      <c r="C34" s="13">
        <v>0</v>
      </c>
      <c r="D34" s="13">
        <v>0</v>
      </c>
      <c r="E34" s="13">
        <v>16</v>
      </c>
      <c r="F34" s="13">
        <v>0</v>
      </c>
      <c r="G34" s="13">
        <v>0</v>
      </c>
      <c r="H34" s="13">
        <v>16</v>
      </c>
      <c r="I34" s="13">
        <v>0</v>
      </c>
      <c r="J34" s="13">
        <v>0</v>
      </c>
      <c r="K34" s="13">
        <v>16</v>
      </c>
      <c r="L34" s="13">
        <v>0</v>
      </c>
      <c r="M34" s="15">
        <v>0</v>
      </c>
      <c r="N34" s="15">
        <v>64</v>
      </c>
      <c r="O34" s="15">
        <v>0</v>
      </c>
      <c r="P34" s="15">
        <v>0</v>
      </c>
      <c r="Q34" s="15">
        <v>0</v>
      </c>
      <c r="R34" s="37">
        <v>100</v>
      </c>
      <c r="S34" s="37">
        <v>0</v>
      </c>
      <c r="T34" s="37">
        <v>0</v>
      </c>
      <c r="U34" s="25">
        <v>0</v>
      </c>
      <c r="W34" s="2" t="s">
        <v>209</v>
      </c>
      <c r="X34" s="13">
        <v>20</v>
      </c>
      <c r="Y34" s="13">
        <v>24</v>
      </c>
      <c r="Z34" s="13">
        <v>24</v>
      </c>
      <c r="AA34" s="13">
        <v>23</v>
      </c>
      <c r="AB34" s="83">
        <f t="shared" si="10"/>
        <v>91</v>
      </c>
      <c r="AC34" s="236">
        <f t="shared" si="11"/>
        <v>0.94791666666666663</v>
      </c>
    </row>
    <row r="35" spans="1:29" x14ac:dyDescent="0.2">
      <c r="A35" s="2" t="s">
        <v>468</v>
      </c>
      <c r="B35" s="13">
        <v>14</v>
      </c>
      <c r="C35" s="13">
        <v>1</v>
      </c>
      <c r="D35" s="13">
        <v>1</v>
      </c>
      <c r="E35" s="13">
        <v>16</v>
      </c>
      <c r="F35" s="13">
        <v>0</v>
      </c>
      <c r="G35" s="13">
        <v>0</v>
      </c>
      <c r="H35" s="13">
        <v>16</v>
      </c>
      <c r="I35" s="13">
        <v>0</v>
      </c>
      <c r="J35" s="13">
        <v>0</v>
      </c>
      <c r="K35" s="13">
        <v>16</v>
      </c>
      <c r="L35" s="13">
        <v>0</v>
      </c>
      <c r="M35" s="15">
        <v>0</v>
      </c>
      <c r="N35" s="15">
        <v>62</v>
      </c>
      <c r="O35" s="15">
        <v>1</v>
      </c>
      <c r="P35" s="15">
        <v>1</v>
      </c>
      <c r="Q35" s="15">
        <v>2</v>
      </c>
      <c r="R35" s="37">
        <f>(62/64)*100</f>
        <v>96.875</v>
      </c>
      <c r="S35" s="37">
        <f>(1/64)*100</f>
        <v>1.5625</v>
      </c>
      <c r="T35" s="37">
        <f>(1/64)*100</f>
        <v>1.5625</v>
      </c>
      <c r="U35" s="25">
        <f>(2/64)*100</f>
        <v>3.125</v>
      </c>
      <c r="W35" s="2" t="s">
        <v>468</v>
      </c>
      <c r="X35" s="13">
        <v>23</v>
      </c>
      <c r="Y35" s="13">
        <v>23</v>
      </c>
      <c r="Z35" s="13">
        <v>24</v>
      </c>
      <c r="AA35" s="13">
        <v>26</v>
      </c>
      <c r="AB35" s="83">
        <f t="shared" si="10"/>
        <v>96</v>
      </c>
      <c r="AC35" s="236">
        <f t="shared" si="11"/>
        <v>1</v>
      </c>
    </row>
    <row r="36" spans="1:29" x14ac:dyDescent="0.2">
      <c r="A36" s="2" t="s">
        <v>469</v>
      </c>
      <c r="B36" s="13">
        <v>16</v>
      </c>
      <c r="C36" s="13">
        <v>0</v>
      </c>
      <c r="D36" s="13">
        <v>0</v>
      </c>
      <c r="E36" s="13">
        <v>16</v>
      </c>
      <c r="F36" s="13">
        <v>0</v>
      </c>
      <c r="G36" s="13">
        <v>0</v>
      </c>
      <c r="H36" s="13">
        <v>16</v>
      </c>
      <c r="I36" s="13">
        <v>0</v>
      </c>
      <c r="J36" s="13">
        <v>0</v>
      </c>
      <c r="K36" s="13">
        <v>16</v>
      </c>
      <c r="L36" s="13">
        <v>0</v>
      </c>
      <c r="M36" s="15">
        <v>0</v>
      </c>
      <c r="N36" s="15">
        <v>64</v>
      </c>
      <c r="O36" s="15">
        <v>0</v>
      </c>
      <c r="P36" s="15">
        <v>0</v>
      </c>
      <c r="Q36" s="15">
        <v>0</v>
      </c>
      <c r="R36" s="37">
        <v>100</v>
      </c>
      <c r="S36" s="37">
        <v>0</v>
      </c>
      <c r="T36" s="37">
        <v>0</v>
      </c>
      <c r="U36" s="25">
        <v>0</v>
      </c>
      <c r="W36" s="2" t="s">
        <v>469</v>
      </c>
      <c r="X36" s="13">
        <v>13</v>
      </c>
      <c r="Y36" s="13">
        <v>12</v>
      </c>
      <c r="Z36" s="13">
        <v>12</v>
      </c>
      <c r="AA36" s="13">
        <v>11</v>
      </c>
      <c r="AB36" s="13">
        <f t="shared" si="10"/>
        <v>48</v>
      </c>
      <c r="AC36" s="25">
        <f t="shared" si="11"/>
        <v>0.5</v>
      </c>
    </row>
    <row r="37" spans="1:29" x14ac:dyDescent="0.2">
      <c r="A37" s="2" t="s">
        <v>470</v>
      </c>
      <c r="B37" s="13">
        <v>16</v>
      </c>
      <c r="C37" s="13">
        <v>0</v>
      </c>
      <c r="D37" s="13">
        <v>0</v>
      </c>
      <c r="E37" s="13">
        <v>16</v>
      </c>
      <c r="F37" s="13">
        <v>0</v>
      </c>
      <c r="G37" s="13">
        <v>0</v>
      </c>
      <c r="H37" s="13">
        <v>16</v>
      </c>
      <c r="I37" s="13">
        <v>0</v>
      </c>
      <c r="J37" s="13">
        <v>0</v>
      </c>
      <c r="K37" s="13">
        <v>16</v>
      </c>
      <c r="L37" s="13">
        <v>0</v>
      </c>
      <c r="M37" s="15">
        <v>0</v>
      </c>
      <c r="N37" s="15">
        <v>64</v>
      </c>
      <c r="O37" s="15">
        <v>0</v>
      </c>
      <c r="P37" s="15">
        <v>0</v>
      </c>
      <c r="Q37" s="15">
        <v>0</v>
      </c>
      <c r="R37" s="37">
        <v>100</v>
      </c>
      <c r="S37" s="37">
        <v>0</v>
      </c>
      <c r="T37" s="37">
        <v>0</v>
      </c>
      <c r="U37" s="25">
        <v>0</v>
      </c>
      <c r="W37" s="2" t="s">
        <v>470</v>
      </c>
      <c r="X37" s="13">
        <v>18</v>
      </c>
      <c r="Y37" s="13">
        <v>15</v>
      </c>
      <c r="Z37" s="13">
        <v>13</v>
      </c>
      <c r="AA37" s="13">
        <v>11</v>
      </c>
      <c r="AB37" s="83">
        <f t="shared" si="10"/>
        <v>57</v>
      </c>
      <c r="AC37" s="236">
        <f t="shared" si="11"/>
        <v>0.59375</v>
      </c>
    </row>
    <row r="38" spans="1:29" x14ac:dyDescent="0.2">
      <c r="A38" s="2" t="s">
        <v>471</v>
      </c>
      <c r="B38" s="13">
        <v>15</v>
      </c>
      <c r="C38" s="13">
        <v>0</v>
      </c>
      <c r="D38" s="13">
        <v>1</v>
      </c>
      <c r="E38" s="13">
        <v>16</v>
      </c>
      <c r="F38" s="13">
        <v>0</v>
      </c>
      <c r="G38" s="13">
        <v>0</v>
      </c>
      <c r="H38" s="13">
        <v>15</v>
      </c>
      <c r="I38" s="13">
        <v>1</v>
      </c>
      <c r="J38" s="13">
        <v>0</v>
      </c>
      <c r="K38" s="13">
        <v>14</v>
      </c>
      <c r="L38" s="13">
        <v>1</v>
      </c>
      <c r="M38" s="15">
        <v>1</v>
      </c>
      <c r="N38" s="15">
        <f>SUM(B38,E38,H38,K38)</f>
        <v>60</v>
      </c>
      <c r="O38" s="15">
        <v>2</v>
      </c>
      <c r="P38" s="15">
        <v>2</v>
      </c>
      <c r="Q38" s="15">
        <v>4</v>
      </c>
      <c r="R38" s="37">
        <f>(60/64)*100</f>
        <v>93.75</v>
      </c>
      <c r="S38" s="37">
        <f>(2/64)*100</f>
        <v>3.125</v>
      </c>
      <c r="T38" s="37">
        <f>(2/64)*100</f>
        <v>3.125</v>
      </c>
      <c r="U38" s="25">
        <f>(4/64)*100</f>
        <v>6.25</v>
      </c>
      <c r="W38" s="2" t="s">
        <v>471</v>
      </c>
      <c r="X38" s="13">
        <v>18</v>
      </c>
      <c r="Y38" s="13">
        <v>17</v>
      </c>
      <c r="Z38" s="13">
        <v>14</v>
      </c>
      <c r="AA38" s="13">
        <v>17</v>
      </c>
      <c r="AB38" s="13">
        <f t="shared" ref="AB38:AB40" si="12">SUM(X38:AA38)</f>
        <v>66</v>
      </c>
      <c r="AC38" s="25">
        <f t="shared" ref="AC38:AC40" si="13">AB38/(24*4)</f>
        <v>0.6875</v>
      </c>
    </row>
    <row r="39" spans="1:29" x14ac:dyDescent="0.2">
      <c r="A39" s="2" t="s">
        <v>472</v>
      </c>
      <c r="B39" s="13">
        <v>16</v>
      </c>
      <c r="C39" s="13">
        <v>0</v>
      </c>
      <c r="D39" s="13">
        <v>0</v>
      </c>
      <c r="E39" s="13">
        <v>16</v>
      </c>
      <c r="F39" s="13">
        <v>0</v>
      </c>
      <c r="G39" s="13">
        <v>0</v>
      </c>
      <c r="H39" s="13">
        <v>16</v>
      </c>
      <c r="I39" s="13">
        <v>0</v>
      </c>
      <c r="J39" s="13">
        <v>0</v>
      </c>
      <c r="K39" s="13">
        <v>16</v>
      </c>
      <c r="L39" s="13">
        <v>0</v>
      </c>
      <c r="M39" s="15">
        <v>0</v>
      </c>
      <c r="N39" s="15">
        <v>64</v>
      </c>
      <c r="O39" s="15">
        <v>0</v>
      </c>
      <c r="P39" s="15">
        <v>0</v>
      </c>
      <c r="Q39" s="15">
        <v>0</v>
      </c>
      <c r="R39" s="37">
        <v>100</v>
      </c>
      <c r="S39" s="37">
        <v>0</v>
      </c>
      <c r="T39" s="37">
        <v>0</v>
      </c>
      <c r="U39" s="25">
        <v>0</v>
      </c>
      <c r="W39" s="2" t="s">
        <v>472</v>
      </c>
      <c r="X39" s="13">
        <v>15</v>
      </c>
      <c r="Y39" s="13">
        <v>15</v>
      </c>
      <c r="Z39" s="13">
        <v>16</v>
      </c>
      <c r="AA39" s="13">
        <v>14</v>
      </c>
      <c r="AB39" s="83">
        <f t="shared" si="12"/>
        <v>60</v>
      </c>
      <c r="AC39" s="236">
        <f t="shared" si="13"/>
        <v>0.625</v>
      </c>
    </row>
    <row r="40" spans="1:29" x14ac:dyDescent="0.2">
      <c r="A40" s="2" t="s">
        <v>473</v>
      </c>
      <c r="B40" s="13">
        <v>16</v>
      </c>
      <c r="C40" s="13">
        <v>0</v>
      </c>
      <c r="D40" s="13">
        <v>0</v>
      </c>
      <c r="E40" s="13">
        <v>16</v>
      </c>
      <c r="F40" s="13">
        <v>0</v>
      </c>
      <c r="G40" s="13">
        <v>0</v>
      </c>
      <c r="H40" s="13">
        <v>16</v>
      </c>
      <c r="I40" s="13">
        <v>0</v>
      </c>
      <c r="J40" s="13">
        <v>0</v>
      </c>
      <c r="K40" s="13">
        <v>16</v>
      </c>
      <c r="L40" s="13">
        <v>0</v>
      </c>
      <c r="M40" s="15">
        <v>0</v>
      </c>
      <c r="N40" s="15">
        <v>64</v>
      </c>
      <c r="O40" s="15">
        <v>0</v>
      </c>
      <c r="P40" s="15">
        <v>0</v>
      </c>
      <c r="Q40" s="15">
        <v>0</v>
      </c>
      <c r="R40" s="37">
        <v>100</v>
      </c>
      <c r="S40" s="37">
        <v>0</v>
      </c>
      <c r="T40" s="37">
        <v>0</v>
      </c>
      <c r="U40" s="25">
        <v>0</v>
      </c>
      <c r="W40" s="2" t="s">
        <v>473</v>
      </c>
      <c r="X40" s="13">
        <v>20</v>
      </c>
      <c r="Y40" s="13">
        <v>18</v>
      </c>
      <c r="Z40" s="13">
        <v>20</v>
      </c>
      <c r="AA40" s="13">
        <v>21</v>
      </c>
      <c r="AB40" s="13">
        <f t="shared" si="12"/>
        <v>79</v>
      </c>
      <c r="AC40" s="25">
        <f t="shared" si="13"/>
        <v>0.82291666666666663</v>
      </c>
    </row>
    <row r="47" spans="1:29" x14ac:dyDescent="0.2">
      <c r="A47" s="2" t="s">
        <v>36</v>
      </c>
      <c r="W47" s="2" t="s">
        <v>36</v>
      </c>
    </row>
    <row r="48" spans="1:29" x14ac:dyDescent="0.2">
      <c r="A48" s="2" t="s">
        <v>98</v>
      </c>
      <c r="B48" s="13">
        <v>13</v>
      </c>
      <c r="C48" s="13">
        <v>0</v>
      </c>
      <c r="D48" s="13">
        <v>3</v>
      </c>
      <c r="E48" s="13">
        <v>16</v>
      </c>
      <c r="F48" s="13">
        <v>0</v>
      </c>
      <c r="G48" s="13">
        <v>0</v>
      </c>
      <c r="H48" s="13">
        <v>16</v>
      </c>
      <c r="I48" s="13">
        <v>0</v>
      </c>
      <c r="J48" s="13">
        <v>0</v>
      </c>
      <c r="K48" s="13">
        <v>16</v>
      </c>
      <c r="L48" s="13">
        <v>0</v>
      </c>
      <c r="M48" s="13">
        <v>0</v>
      </c>
      <c r="N48" s="15">
        <f>SUM(B48,E48,H48,K48)</f>
        <v>61</v>
      </c>
      <c r="O48" s="15">
        <v>0</v>
      </c>
      <c r="P48" s="15">
        <v>3</v>
      </c>
      <c r="Q48" s="15">
        <v>3</v>
      </c>
      <c r="R48" s="37">
        <f>(N48/64)*100</f>
        <v>95.3125</v>
      </c>
      <c r="S48" s="37">
        <v>0</v>
      </c>
      <c r="T48" s="37">
        <f>(3/64)*100</f>
        <v>4.6875</v>
      </c>
      <c r="U48" s="25">
        <v>4.6900000000000004</v>
      </c>
      <c r="W48" s="2" t="s">
        <v>98</v>
      </c>
      <c r="X48" s="13">
        <v>16</v>
      </c>
      <c r="Y48" s="13">
        <v>16</v>
      </c>
      <c r="Z48" s="13">
        <v>16</v>
      </c>
      <c r="AA48" s="13">
        <v>17</v>
      </c>
      <c r="AB48" s="13">
        <f t="shared" ref="AB48:AB56" si="14">SUM(X48:AA48)</f>
        <v>65</v>
      </c>
      <c r="AC48" s="25">
        <f>AB48/(24*4)</f>
        <v>0.67708333333333337</v>
      </c>
    </row>
    <row r="49" spans="1:29" x14ac:dyDescent="0.2">
      <c r="A49" s="2" t="s">
        <v>100</v>
      </c>
      <c r="B49" s="13">
        <v>15</v>
      </c>
      <c r="C49" s="13">
        <v>1</v>
      </c>
      <c r="D49" s="13">
        <v>0</v>
      </c>
      <c r="E49" s="13">
        <v>16</v>
      </c>
      <c r="F49" s="13">
        <v>0</v>
      </c>
      <c r="G49" s="13">
        <v>0</v>
      </c>
      <c r="H49" s="13">
        <v>16</v>
      </c>
      <c r="I49" s="13">
        <v>0</v>
      </c>
      <c r="J49" s="13">
        <v>0</v>
      </c>
      <c r="K49" s="13">
        <v>16</v>
      </c>
      <c r="L49" s="13">
        <v>0</v>
      </c>
      <c r="M49" s="13">
        <v>0</v>
      </c>
      <c r="N49" s="15">
        <f>SUM(B49,E49,H49,K49)</f>
        <v>63</v>
      </c>
      <c r="O49" s="15">
        <v>1</v>
      </c>
      <c r="P49" s="15">
        <v>0</v>
      </c>
      <c r="Q49" s="15">
        <v>1</v>
      </c>
      <c r="R49" s="37">
        <f>(63/64)*100</f>
        <v>98.4375</v>
      </c>
      <c r="S49" s="37">
        <f>(1/64)*100</f>
        <v>1.5625</v>
      </c>
      <c r="T49" s="37">
        <v>0</v>
      </c>
      <c r="U49" s="25">
        <v>1.56</v>
      </c>
      <c r="W49" s="2" t="s">
        <v>100</v>
      </c>
      <c r="X49" s="13">
        <v>17</v>
      </c>
      <c r="Y49" s="13">
        <v>17</v>
      </c>
      <c r="Z49" s="13">
        <v>16</v>
      </c>
      <c r="AA49" s="13">
        <v>16</v>
      </c>
      <c r="AB49" s="13">
        <f t="shared" si="14"/>
        <v>66</v>
      </c>
      <c r="AC49" s="25">
        <f>66/(24*4)</f>
        <v>0.6875</v>
      </c>
    </row>
    <row r="50" spans="1:29" x14ac:dyDescent="0.2">
      <c r="A50" s="2" t="s">
        <v>107</v>
      </c>
      <c r="B50" s="13">
        <v>16</v>
      </c>
      <c r="C50" s="13">
        <v>0</v>
      </c>
      <c r="D50" s="13">
        <v>0</v>
      </c>
      <c r="E50" s="13">
        <v>16</v>
      </c>
      <c r="F50" s="13">
        <v>0</v>
      </c>
      <c r="G50" s="13">
        <v>0</v>
      </c>
      <c r="H50" s="13">
        <v>16</v>
      </c>
      <c r="I50" s="13">
        <v>0</v>
      </c>
      <c r="J50" s="13">
        <v>0</v>
      </c>
      <c r="K50" s="13">
        <v>16</v>
      </c>
      <c r="L50" s="13">
        <v>0</v>
      </c>
      <c r="M50" s="15">
        <v>0</v>
      </c>
      <c r="N50" s="15">
        <v>64</v>
      </c>
      <c r="O50" s="15">
        <v>0</v>
      </c>
      <c r="P50" s="15">
        <v>0</v>
      </c>
      <c r="Q50" s="15">
        <v>0</v>
      </c>
      <c r="R50" s="37">
        <v>100</v>
      </c>
      <c r="S50" s="37">
        <v>0</v>
      </c>
      <c r="T50" s="37">
        <v>0</v>
      </c>
      <c r="U50" s="25">
        <v>0</v>
      </c>
      <c r="W50" s="2" t="s">
        <v>107</v>
      </c>
      <c r="X50" s="13">
        <v>20</v>
      </c>
      <c r="Y50" s="13">
        <v>23</v>
      </c>
      <c r="Z50" s="13">
        <v>23</v>
      </c>
      <c r="AA50" s="13">
        <v>24</v>
      </c>
      <c r="AB50" s="13">
        <f t="shared" si="14"/>
        <v>90</v>
      </c>
      <c r="AC50" s="25">
        <f>90/(24*4)</f>
        <v>0.9375</v>
      </c>
    </row>
    <row r="51" spans="1:29" x14ac:dyDescent="0.2">
      <c r="A51" s="2" t="s">
        <v>168</v>
      </c>
      <c r="B51" s="13">
        <v>16</v>
      </c>
      <c r="C51" s="13">
        <v>0</v>
      </c>
      <c r="D51" s="13">
        <v>0</v>
      </c>
      <c r="E51" s="13">
        <v>15</v>
      </c>
      <c r="F51" s="13">
        <v>1</v>
      </c>
      <c r="G51" s="13">
        <v>0</v>
      </c>
      <c r="H51" s="13">
        <v>16</v>
      </c>
      <c r="I51" s="13">
        <v>0</v>
      </c>
      <c r="J51" s="13">
        <v>0</v>
      </c>
      <c r="K51" s="13">
        <v>16</v>
      </c>
      <c r="L51" s="13">
        <v>0</v>
      </c>
      <c r="M51" s="15">
        <v>0</v>
      </c>
      <c r="N51" s="15">
        <v>63</v>
      </c>
      <c r="O51" s="15">
        <v>1</v>
      </c>
      <c r="P51" s="15">
        <v>0</v>
      </c>
      <c r="Q51" s="15">
        <v>1</v>
      </c>
      <c r="R51" s="37">
        <f>(63/64)*100</f>
        <v>98.4375</v>
      </c>
      <c r="S51" s="37">
        <f>(1/64)*100</f>
        <v>1.5625</v>
      </c>
      <c r="T51" s="37">
        <v>0</v>
      </c>
      <c r="U51" s="25">
        <v>1.56</v>
      </c>
      <c r="W51" s="2" t="s">
        <v>168</v>
      </c>
      <c r="X51" s="13">
        <v>16</v>
      </c>
      <c r="Y51" s="13">
        <v>17</v>
      </c>
      <c r="Z51" s="13">
        <v>17</v>
      </c>
      <c r="AA51" s="13">
        <v>17</v>
      </c>
      <c r="AB51" s="13">
        <f t="shared" si="14"/>
        <v>67</v>
      </c>
      <c r="AC51" s="25">
        <f>67/(24*4)</f>
        <v>0.69791666666666663</v>
      </c>
    </row>
    <row r="52" spans="1:29" x14ac:dyDescent="0.2">
      <c r="A52" s="2" t="s">
        <v>192</v>
      </c>
      <c r="B52" s="13">
        <v>16</v>
      </c>
      <c r="C52" s="13">
        <v>0</v>
      </c>
      <c r="D52" s="13">
        <v>0</v>
      </c>
      <c r="E52" s="13">
        <v>16</v>
      </c>
      <c r="F52" s="13">
        <v>0</v>
      </c>
      <c r="G52" s="13">
        <v>0</v>
      </c>
      <c r="H52" s="13">
        <v>15</v>
      </c>
      <c r="I52" s="13">
        <v>1</v>
      </c>
      <c r="J52" s="13">
        <v>0</v>
      </c>
      <c r="K52" s="13">
        <v>16</v>
      </c>
      <c r="L52" s="13">
        <v>0</v>
      </c>
      <c r="M52" s="15">
        <v>0</v>
      </c>
      <c r="N52" s="15">
        <v>63</v>
      </c>
      <c r="O52" s="15">
        <v>1</v>
      </c>
      <c r="P52" s="15">
        <v>0</v>
      </c>
      <c r="Q52" s="15">
        <v>1</v>
      </c>
      <c r="R52" s="37">
        <f>(63/64)*100</f>
        <v>98.4375</v>
      </c>
      <c r="S52" s="37">
        <f>(1/64)*100</f>
        <v>1.5625</v>
      </c>
      <c r="T52" s="37">
        <v>0</v>
      </c>
      <c r="U52" s="25">
        <v>1.56</v>
      </c>
      <c r="W52" s="2" t="s">
        <v>192</v>
      </c>
      <c r="X52" s="13">
        <v>14</v>
      </c>
      <c r="Y52" s="13">
        <v>14</v>
      </c>
      <c r="Z52" s="13">
        <v>14</v>
      </c>
      <c r="AA52" s="13">
        <v>14</v>
      </c>
      <c r="AB52" s="13">
        <f t="shared" si="14"/>
        <v>56</v>
      </c>
      <c r="AC52" s="25">
        <f>AB52/(24*4)</f>
        <v>0.58333333333333337</v>
      </c>
    </row>
    <row r="53" spans="1:29" x14ac:dyDescent="0.2">
      <c r="A53" s="2" t="s">
        <v>195</v>
      </c>
      <c r="B53" s="13">
        <v>16</v>
      </c>
      <c r="C53" s="13">
        <v>0</v>
      </c>
      <c r="D53" s="13">
        <v>0</v>
      </c>
      <c r="E53" s="13">
        <v>16</v>
      </c>
      <c r="F53" s="13">
        <v>0</v>
      </c>
      <c r="G53" s="13">
        <v>0</v>
      </c>
      <c r="H53" s="13">
        <v>15</v>
      </c>
      <c r="I53" s="13">
        <v>0</v>
      </c>
      <c r="J53" s="13">
        <v>1</v>
      </c>
      <c r="K53" s="13">
        <v>16</v>
      </c>
      <c r="L53" s="13">
        <v>0</v>
      </c>
      <c r="M53" s="15">
        <v>0</v>
      </c>
      <c r="N53" s="15">
        <v>63</v>
      </c>
      <c r="O53" s="15">
        <v>0</v>
      </c>
      <c r="P53" s="15">
        <v>1</v>
      </c>
      <c r="Q53" s="15">
        <v>1</v>
      </c>
      <c r="R53" s="37">
        <f>(63/64)*100</f>
        <v>98.4375</v>
      </c>
      <c r="S53" s="37">
        <v>0</v>
      </c>
      <c r="T53" s="37">
        <f>(1/64)*100</f>
        <v>1.5625</v>
      </c>
      <c r="U53" s="25">
        <v>1.56</v>
      </c>
      <c r="W53" s="2" t="s">
        <v>195</v>
      </c>
      <c r="X53" s="13">
        <v>15</v>
      </c>
      <c r="Y53" s="13">
        <v>15</v>
      </c>
      <c r="Z53" s="13">
        <v>15</v>
      </c>
      <c r="AA53" s="13">
        <v>14</v>
      </c>
      <c r="AB53" s="13">
        <f t="shared" si="14"/>
        <v>59</v>
      </c>
      <c r="AC53" s="25">
        <f>AB53/(24*4)</f>
        <v>0.61458333333333337</v>
      </c>
    </row>
    <row r="54" spans="1:29" x14ac:dyDescent="0.2">
      <c r="A54" s="2" t="s">
        <v>211</v>
      </c>
      <c r="B54" s="13">
        <v>16</v>
      </c>
      <c r="C54" s="13">
        <v>0</v>
      </c>
      <c r="D54" s="13">
        <v>0</v>
      </c>
      <c r="E54" s="13">
        <v>15</v>
      </c>
      <c r="F54" s="13">
        <v>0</v>
      </c>
      <c r="G54" s="13">
        <v>1</v>
      </c>
      <c r="H54" s="13">
        <v>16</v>
      </c>
      <c r="I54" s="13">
        <v>0</v>
      </c>
      <c r="J54" s="13">
        <v>0</v>
      </c>
      <c r="K54" s="13">
        <v>16</v>
      </c>
      <c r="L54" s="13">
        <v>0</v>
      </c>
      <c r="M54" s="15">
        <v>0</v>
      </c>
      <c r="N54" s="15">
        <v>63</v>
      </c>
      <c r="O54" s="15">
        <v>0</v>
      </c>
      <c r="P54" s="15">
        <v>1</v>
      </c>
      <c r="Q54" s="15">
        <v>1</v>
      </c>
      <c r="R54" s="37">
        <f>(63/64)*100</f>
        <v>98.4375</v>
      </c>
      <c r="S54" s="37">
        <v>0</v>
      </c>
      <c r="T54" s="37">
        <f>(1/64)*100</f>
        <v>1.5625</v>
      </c>
      <c r="U54" s="25">
        <v>1.56</v>
      </c>
      <c r="W54" s="2" t="s">
        <v>211</v>
      </c>
      <c r="X54" s="13">
        <v>19</v>
      </c>
      <c r="Y54" s="13">
        <v>16</v>
      </c>
      <c r="Z54" s="13">
        <v>16</v>
      </c>
      <c r="AA54" s="13">
        <v>16</v>
      </c>
      <c r="AB54" s="13">
        <f t="shared" si="14"/>
        <v>67</v>
      </c>
      <c r="AC54" s="25">
        <f>AB54/(24*4)</f>
        <v>0.69791666666666663</v>
      </c>
    </row>
    <row r="55" spans="1:29" x14ac:dyDescent="0.2">
      <c r="A55" s="2" t="s">
        <v>215</v>
      </c>
      <c r="B55" s="13">
        <v>16</v>
      </c>
      <c r="C55" s="13">
        <v>0</v>
      </c>
      <c r="D55" s="13">
        <v>0</v>
      </c>
      <c r="E55" s="13">
        <v>16</v>
      </c>
      <c r="F55" s="13">
        <v>0</v>
      </c>
      <c r="G55" s="13">
        <v>0</v>
      </c>
      <c r="H55" s="13">
        <v>16</v>
      </c>
      <c r="I55" s="13">
        <v>0</v>
      </c>
      <c r="J55" s="13">
        <v>0</v>
      </c>
      <c r="K55" s="13">
        <v>16</v>
      </c>
      <c r="L55" s="13">
        <v>0</v>
      </c>
      <c r="M55" s="15">
        <v>0</v>
      </c>
      <c r="N55" s="15">
        <v>64</v>
      </c>
      <c r="O55" s="15">
        <v>0</v>
      </c>
      <c r="P55" s="15">
        <v>0</v>
      </c>
      <c r="Q55" s="15">
        <v>0</v>
      </c>
      <c r="R55" s="37">
        <v>100</v>
      </c>
      <c r="S55" s="37">
        <v>0</v>
      </c>
      <c r="T55" s="37">
        <v>0</v>
      </c>
      <c r="U55" s="25">
        <v>0</v>
      </c>
      <c r="W55" s="2" t="s">
        <v>215</v>
      </c>
      <c r="X55" s="13">
        <v>19</v>
      </c>
      <c r="Y55" s="13">
        <v>17</v>
      </c>
      <c r="Z55" s="13">
        <v>19</v>
      </c>
      <c r="AA55" s="13">
        <v>20</v>
      </c>
      <c r="AB55" s="13">
        <f t="shared" si="14"/>
        <v>75</v>
      </c>
      <c r="AC55" s="25">
        <f>AB55/(24*4)</f>
        <v>0.78125</v>
      </c>
    </row>
    <row r="56" spans="1:29" x14ac:dyDescent="0.2">
      <c r="A56" s="2" t="s">
        <v>218</v>
      </c>
      <c r="B56" s="13">
        <v>16</v>
      </c>
      <c r="C56" s="13">
        <v>0</v>
      </c>
      <c r="D56" s="13">
        <v>0</v>
      </c>
      <c r="E56" s="13">
        <v>16</v>
      </c>
      <c r="F56" s="13">
        <v>0</v>
      </c>
      <c r="G56" s="13">
        <v>0</v>
      </c>
      <c r="H56" s="13">
        <v>15</v>
      </c>
      <c r="I56" s="13">
        <v>0</v>
      </c>
      <c r="J56" s="13">
        <v>1</v>
      </c>
      <c r="K56" s="13">
        <v>16</v>
      </c>
      <c r="L56" s="13">
        <v>0</v>
      </c>
      <c r="M56" s="15">
        <v>0</v>
      </c>
      <c r="N56" s="15">
        <v>63</v>
      </c>
      <c r="O56" s="15">
        <v>0</v>
      </c>
      <c r="P56" s="15">
        <v>1</v>
      </c>
      <c r="Q56" s="15">
        <v>1</v>
      </c>
      <c r="R56" s="37">
        <f>(63/64)*100</f>
        <v>98.4375</v>
      </c>
      <c r="S56" s="37">
        <v>0</v>
      </c>
      <c r="T56" s="37">
        <f>(1/64)*100</f>
        <v>1.5625</v>
      </c>
      <c r="U56" s="25">
        <v>1.56</v>
      </c>
      <c r="W56" s="2" t="s">
        <v>218</v>
      </c>
      <c r="X56" s="13">
        <v>17</v>
      </c>
      <c r="Y56" s="13">
        <v>14</v>
      </c>
      <c r="Z56" s="13">
        <v>14</v>
      </c>
      <c r="AA56" s="13">
        <v>12</v>
      </c>
      <c r="AB56" s="13">
        <f t="shared" si="14"/>
        <v>57</v>
      </c>
      <c r="AC56" s="25">
        <f>AB56/(24*4)</f>
        <v>0.59375</v>
      </c>
    </row>
    <row r="57" spans="1:29" x14ac:dyDescent="0.2">
      <c r="A57" s="2" t="s">
        <v>238</v>
      </c>
      <c r="B57" s="13">
        <v>15</v>
      </c>
      <c r="C57" s="13">
        <v>1</v>
      </c>
      <c r="D57" s="13">
        <v>0</v>
      </c>
      <c r="E57" s="13">
        <v>16</v>
      </c>
      <c r="F57" s="13">
        <v>0</v>
      </c>
      <c r="G57" s="13">
        <v>0</v>
      </c>
      <c r="H57" s="13">
        <v>16</v>
      </c>
      <c r="I57" s="13">
        <v>0</v>
      </c>
      <c r="J57" s="13">
        <v>0</v>
      </c>
      <c r="K57" s="13">
        <v>15</v>
      </c>
      <c r="L57" s="13">
        <v>0</v>
      </c>
      <c r="M57" s="15">
        <v>1</v>
      </c>
      <c r="N57" s="15">
        <f>SUM(B57,E57,H57,K57)</f>
        <v>62</v>
      </c>
      <c r="O57" s="15">
        <v>1</v>
      </c>
      <c r="P57" s="15">
        <v>1</v>
      </c>
      <c r="Q57" s="15">
        <v>2</v>
      </c>
      <c r="R57" s="37">
        <f>(62/64)*100</f>
        <v>96.875</v>
      </c>
      <c r="S57" s="37">
        <f>(1/64)*100</f>
        <v>1.5625</v>
      </c>
      <c r="T57" s="37">
        <f>(1/64)*100</f>
        <v>1.5625</v>
      </c>
      <c r="U57" s="25">
        <f>(2/64)*100</f>
        <v>3.125</v>
      </c>
      <c r="W57" s="2" t="s">
        <v>238</v>
      </c>
      <c r="X57" s="13">
        <v>23</v>
      </c>
      <c r="Y57" s="13">
        <v>26</v>
      </c>
      <c r="Z57" s="13">
        <v>27</v>
      </c>
      <c r="AA57" s="13">
        <v>26</v>
      </c>
      <c r="AB57" s="13">
        <f t="shared" ref="AB57:AB84" si="15">SUM(X57:AA57)</f>
        <v>102</v>
      </c>
      <c r="AC57" s="25">
        <f t="shared" ref="AC57:AC84" si="16">AB57/(24*4)</f>
        <v>1.0625</v>
      </c>
    </row>
    <row r="58" spans="1:29" x14ac:dyDescent="0.2">
      <c r="A58" s="2" t="s">
        <v>242</v>
      </c>
      <c r="B58" s="13">
        <v>15</v>
      </c>
      <c r="C58" s="13">
        <v>0</v>
      </c>
      <c r="D58" s="13">
        <v>1</v>
      </c>
      <c r="E58" s="13">
        <v>16</v>
      </c>
      <c r="F58" s="13">
        <v>0</v>
      </c>
      <c r="G58" s="13">
        <v>0</v>
      </c>
      <c r="H58" s="13">
        <v>16</v>
      </c>
      <c r="I58" s="13">
        <v>0</v>
      </c>
      <c r="J58" s="13">
        <v>0</v>
      </c>
      <c r="K58" s="13">
        <v>16</v>
      </c>
      <c r="L58" s="13">
        <v>0</v>
      </c>
      <c r="M58" s="15">
        <v>0</v>
      </c>
      <c r="N58" s="15">
        <v>63</v>
      </c>
      <c r="O58" s="15">
        <v>0</v>
      </c>
      <c r="P58" s="15">
        <v>1</v>
      </c>
      <c r="Q58" s="15">
        <v>1</v>
      </c>
      <c r="R58" s="37">
        <f>(63/64)*100</f>
        <v>98.4375</v>
      </c>
      <c r="S58" s="37">
        <v>0</v>
      </c>
      <c r="T58" s="37">
        <f>(1/64)*100</f>
        <v>1.5625</v>
      </c>
      <c r="U58" s="25">
        <v>1.56</v>
      </c>
      <c r="W58" s="2" t="s">
        <v>242</v>
      </c>
      <c r="X58" s="13">
        <v>16</v>
      </c>
      <c r="Y58" s="13">
        <v>17</v>
      </c>
      <c r="Z58" s="13">
        <v>16</v>
      </c>
      <c r="AA58" s="13">
        <v>15</v>
      </c>
      <c r="AB58" s="13">
        <f t="shared" si="15"/>
        <v>64</v>
      </c>
      <c r="AC58" s="25">
        <f t="shared" si="16"/>
        <v>0.66666666666666663</v>
      </c>
    </row>
    <row r="59" spans="1:29" x14ac:dyDescent="0.2">
      <c r="A59" s="2" t="s">
        <v>249</v>
      </c>
      <c r="B59" s="13">
        <v>16</v>
      </c>
      <c r="C59" s="13">
        <v>0</v>
      </c>
      <c r="D59" s="13">
        <v>0</v>
      </c>
      <c r="E59" s="13">
        <v>16</v>
      </c>
      <c r="F59" s="13">
        <v>0</v>
      </c>
      <c r="G59" s="13">
        <v>0</v>
      </c>
      <c r="H59" s="13">
        <v>16</v>
      </c>
      <c r="I59" s="13">
        <v>0</v>
      </c>
      <c r="J59" s="13">
        <v>0</v>
      </c>
      <c r="K59" s="13">
        <v>16</v>
      </c>
      <c r="L59" s="13">
        <v>0</v>
      </c>
      <c r="M59" s="15">
        <v>0</v>
      </c>
      <c r="N59" s="15">
        <v>64</v>
      </c>
      <c r="O59" s="15">
        <v>0</v>
      </c>
      <c r="P59" s="15">
        <v>0</v>
      </c>
      <c r="Q59" s="15">
        <v>0</v>
      </c>
      <c r="R59" s="37">
        <v>100</v>
      </c>
      <c r="S59" s="37">
        <v>0</v>
      </c>
      <c r="T59" s="37">
        <v>0</v>
      </c>
      <c r="U59" s="25">
        <v>0</v>
      </c>
      <c r="W59" s="2" t="s">
        <v>249</v>
      </c>
      <c r="X59" s="13">
        <v>19</v>
      </c>
      <c r="Y59" s="13">
        <v>17</v>
      </c>
      <c r="Z59" s="13">
        <v>17</v>
      </c>
      <c r="AA59" s="13">
        <v>17</v>
      </c>
      <c r="AB59" s="13">
        <f t="shared" si="15"/>
        <v>70</v>
      </c>
      <c r="AC59" s="25">
        <f t="shared" si="16"/>
        <v>0.72916666666666663</v>
      </c>
    </row>
    <row r="60" spans="1:29" x14ac:dyDescent="0.2">
      <c r="A60" s="2" t="s">
        <v>252</v>
      </c>
      <c r="B60" s="13">
        <v>16</v>
      </c>
      <c r="C60" s="13">
        <v>0</v>
      </c>
      <c r="D60" s="13">
        <v>0</v>
      </c>
      <c r="E60" s="13">
        <v>16</v>
      </c>
      <c r="F60" s="13">
        <v>0</v>
      </c>
      <c r="G60" s="13">
        <v>0</v>
      </c>
      <c r="H60" s="13">
        <v>16</v>
      </c>
      <c r="I60" s="13">
        <v>0</v>
      </c>
      <c r="J60" s="13">
        <v>0</v>
      </c>
      <c r="K60" s="13">
        <v>16</v>
      </c>
      <c r="L60" s="13">
        <v>0</v>
      </c>
      <c r="M60" s="15">
        <v>0</v>
      </c>
      <c r="N60" s="15">
        <v>64</v>
      </c>
      <c r="O60" s="15">
        <v>0</v>
      </c>
      <c r="P60" s="15">
        <v>0</v>
      </c>
      <c r="Q60" s="15">
        <v>0</v>
      </c>
      <c r="R60" s="37">
        <v>100</v>
      </c>
      <c r="S60" s="37">
        <v>0</v>
      </c>
      <c r="T60" s="37">
        <v>0</v>
      </c>
      <c r="U60" s="25">
        <v>0</v>
      </c>
      <c r="W60" s="2" t="s">
        <v>252</v>
      </c>
      <c r="X60" s="13">
        <v>14</v>
      </c>
      <c r="Y60" s="13">
        <v>14</v>
      </c>
      <c r="Z60" s="13">
        <v>15</v>
      </c>
      <c r="AA60" s="13">
        <v>15</v>
      </c>
      <c r="AB60" s="13">
        <f t="shared" si="15"/>
        <v>58</v>
      </c>
      <c r="AC60" s="25">
        <f t="shared" si="16"/>
        <v>0.60416666666666663</v>
      </c>
    </row>
    <row r="61" spans="1:29" x14ac:dyDescent="0.2">
      <c r="A61" s="2" t="s">
        <v>260</v>
      </c>
      <c r="B61" s="13">
        <v>16</v>
      </c>
      <c r="C61" s="13">
        <v>0</v>
      </c>
      <c r="D61" s="13">
        <v>0</v>
      </c>
      <c r="E61" s="13">
        <v>16</v>
      </c>
      <c r="F61" s="13">
        <v>0</v>
      </c>
      <c r="G61" s="13">
        <v>0</v>
      </c>
      <c r="H61" s="13">
        <v>16</v>
      </c>
      <c r="I61" s="13">
        <v>0</v>
      </c>
      <c r="J61" s="13">
        <v>0</v>
      </c>
      <c r="K61" s="13">
        <v>16</v>
      </c>
      <c r="L61" s="13">
        <v>0</v>
      </c>
      <c r="M61" s="15">
        <v>0</v>
      </c>
      <c r="N61" s="15">
        <v>64</v>
      </c>
      <c r="O61" s="15">
        <v>0</v>
      </c>
      <c r="P61" s="15">
        <v>0</v>
      </c>
      <c r="Q61" s="15">
        <v>0</v>
      </c>
      <c r="R61" s="37">
        <v>100</v>
      </c>
      <c r="S61" s="37">
        <v>0</v>
      </c>
      <c r="T61" s="37">
        <v>0</v>
      </c>
      <c r="U61" s="25">
        <v>0</v>
      </c>
      <c r="W61" s="2" t="s">
        <v>260</v>
      </c>
      <c r="X61" s="13">
        <v>14</v>
      </c>
      <c r="Y61" s="13">
        <v>16</v>
      </c>
      <c r="Z61" s="13">
        <v>15</v>
      </c>
      <c r="AA61" s="13">
        <v>16</v>
      </c>
      <c r="AB61" s="13">
        <f t="shared" si="15"/>
        <v>61</v>
      </c>
      <c r="AC61" s="25">
        <f t="shared" si="16"/>
        <v>0.63541666666666663</v>
      </c>
    </row>
    <row r="62" spans="1:29" x14ac:dyDescent="0.2">
      <c r="A62" s="2" t="s">
        <v>278</v>
      </c>
      <c r="B62" s="13">
        <v>16</v>
      </c>
      <c r="C62" s="13">
        <v>0</v>
      </c>
      <c r="D62" s="13">
        <v>0</v>
      </c>
      <c r="E62" s="13">
        <v>16</v>
      </c>
      <c r="F62" s="13">
        <v>0</v>
      </c>
      <c r="G62" s="13">
        <v>0</v>
      </c>
      <c r="H62" s="13">
        <v>16</v>
      </c>
      <c r="I62" s="13">
        <v>0</v>
      </c>
      <c r="J62" s="13">
        <v>0</v>
      </c>
      <c r="K62" s="13">
        <v>16</v>
      </c>
      <c r="L62" s="13">
        <v>0</v>
      </c>
      <c r="M62" s="15">
        <v>0</v>
      </c>
      <c r="N62" s="15">
        <v>64</v>
      </c>
      <c r="O62" s="15">
        <v>0</v>
      </c>
      <c r="P62" s="15">
        <v>0</v>
      </c>
      <c r="Q62" s="15">
        <v>0</v>
      </c>
      <c r="R62" s="37">
        <v>100</v>
      </c>
      <c r="S62" s="37">
        <v>0</v>
      </c>
      <c r="T62" s="37">
        <v>0</v>
      </c>
      <c r="U62" s="25">
        <v>0</v>
      </c>
      <c r="W62" s="2" t="s">
        <v>278</v>
      </c>
      <c r="X62" s="13">
        <v>17</v>
      </c>
      <c r="Y62" s="13">
        <v>18</v>
      </c>
      <c r="Z62" s="13">
        <v>18</v>
      </c>
      <c r="AA62" s="13">
        <v>17</v>
      </c>
      <c r="AB62" s="13">
        <f t="shared" si="15"/>
        <v>70</v>
      </c>
      <c r="AC62" s="25">
        <f t="shared" si="16"/>
        <v>0.72916666666666663</v>
      </c>
    </row>
    <row r="63" spans="1:29" x14ac:dyDescent="0.2">
      <c r="A63" s="2" t="s">
        <v>284</v>
      </c>
      <c r="B63" s="13">
        <v>16</v>
      </c>
      <c r="C63" s="13">
        <v>0</v>
      </c>
      <c r="D63" s="13">
        <v>0</v>
      </c>
      <c r="E63" s="13">
        <v>16</v>
      </c>
      <c r="F63" s="13">
        <v>0</v>
      </c>
      <c r="G63" s="13">
        <v>0</v>
      </c>
      <c r="H63" s="13">
        <v>15</v>
      </c>
      <c r="I63" s="13">
        <v>1</v>
      </c>
      <c r="J63" s="13">
        <v>0</v>
      </c>
      <c r="K63" s="13">
        <v>16</v>
      </c>
      <c r="L63" s="13">
        <v>0</v>
      </c>
      <c r="M63" s="15">
        <v>0</v>
      </c>
      <c r="N63" s="15">
        <v>63</v>
      </c>
      <c r="O63" s="15">
        <v>1</v>
      </c>
      <c r="P63" s="15">
        <v>0</v>
      </c>
      <c r="Q63" s="15">
        <v>1</v>
      </c>
      <c r="R63" s="37">
        <f>(63/64)*100</f>
        <v>98.4375</v>
      </c>
      <c r="S63" s="37">
        <f>(1/64)*100</f>
        <v>1.5625</v>
      </c>
      <c r="T63" s="37">
        <v>0</v>
      </c>
      <c r="U63" s="25">
        <f>(1/64)*100</f>
        <v>1.5625</v>
      </c>
      <c r="W63" s="2" t="s">
        <v>284</v>
      </c>
      <c r="X63" s="13">
        <v>16</v>
      </c>
      <c r="Y63" s="13">
        <v>15</v>
      </c>
      <c r="Z63" s="13">
        <v>15</v>
      </c>
      <c r="AA63" s="13">
        <v>15</v>
      </c>
      <c r="AB63" s="13">
        <f t="shared" si="15"/>
        <v>61</v>
      </c>
      <c r="AC63" s="25">
        <f t="shared" si="16"/>
        <v>0.63541666666666663</v>
      </c>
    </row>
    <row r="64" spans="1:29" x14ac:dyDescent="0.2">
      <c r="A64" s="2" t="s">
        <v>312</v>
      </c>
      <c r="B64" s="13">
        <v>16</v>
      </c>
      <c r="C64" s="13">
        <v>0</v>
      </c>
      <c r="D64" s="13">
        <v>0</v>
      </c>
      <c r="E64" s="13">
        <v>16</v>
      </c>
      <c r="F64" s="13">
        <v>0</v>
      </c>
      <c r="G64" s="13">
        <v>0</v>
      </c>
      <c r="H64" s="13">
        <v>16</v>
      </c>
      <c r="I64" s="13">
        <v>0</v>
      </c>
      <c r="J64" s="13">
        <v>0</v>
      </c>
      <c r="K64" s="13">
        <v>15</v>
      </c>
      <c r="L64" s="13">
        <v>1</v>
      </c>
      <c r="M64" s="15">
        <v>0</v>
      </c>
      <c r="N64" s="15">
        <v>63</v>
      </c>
      <c r="O64" s="15">
        <v>1</v>
      </c>
      <c r="P64" s="15">
        <v>0</v>
      </c>
      <c r="Q64" s="15">
        <v>1</v>
      </c>
      <c r="R64" s="37">
        <f>(63/64)*100</f>
        <v>98.4375</v>
      </c>
      <c r="S64" s="37">
        <f>(1/64)*100</f>
        <v>1.5625</v>
      </c>
      <c r="T64" s="37">
        <v>0</v>
      </c>
      <c r="U64" s="25">
        <f>(1/64)*100</f>
        <v>1.5625</v>
      </c>
      <c r="W64" s="2" t="s">
        <v>312</v>
      </c>
      <c r="X64" s="13">
        <v>13</v>
      </c>
      <c r="Y64" s="13">
        <v>16</v>
      </c>
      <c r="Z64" s="13">
        <v>16</v>
      </c>
      <c r="AA64" s="13">
        <v>16</v>
      </c>
      <c r="AB64" s="13">
        <f t="shared" si="15"/>
        <v>61</v>
      </c>
      <c r="AC64" s="25">
        <f t="shared" si="16"/>
        <v>0.63541666666666663</v>
      </c>
    </row>
    <row r="65" spans="1:29" x14ac:dyDescent="0.2">
      <c r="A65" s="2" t="s">
        <v>320</v>
      </c>
      <c r="B65" s="13">
        <v>16</v>
      </c>
      <c r="C65" s="13">
        <v>0</v>
      </c>
      <c r="D65" s="13">
        <v>0</v>
      </c>
      <c r="E65" s="13">
        <v>16</v>
      </c>
      <c r="F65" s="13">
        <v>0</v>
      </c>
      <c r="G65" s="13">
        <v>0</v>
      </c>
      <c r="H65" s="13">
        <v>16</v>
      </c>
      <c r="I65" s="13">
        <v>0</v>
      </c>
      <c r="J65" s="13">
        <v>0</v>
      </c>
      <c r="K65" s="13">
        <v>16</v>
      </c>
      <c r="L65" s="13">
        <v>0</v>
      </c>
      <c r="M65" s="15">
        <v>0</v>
      </c>
      <c r="N65" s="15">
        <v>64</v>
      </c>
      <c r="O65" s="15">
        <v>0</v>
      </c>
      <c r="P65" s="15">
        <v>0</v>
      </c>
      <c r="Q65" s="15">
        <v>0</v>
      </c>
      <c r="R65" s="37">
        <v>100</v>
      </c>
      <c r="S65" s="37">
        <v>0</v>
      </c>
      <c r="T65" s="37">
        <v>0</v>
      </c>
      <c r="U65" s="25">
        <v>0</v>
      </c>
      <c r="W65" s="2" t="s">
        <v>320</v>
      </c>
      <c r="X65" s="13">
        <v>39</v>
      </c>
      <c r="Y65" s="13">
        <v>42</v>
      </c>
      <c r="Z65" s="13">
        <v>46</v>
      </c>
      <c r="AA65" s="13">
        <v>27</v>
      </c>
      <c r="AB65" s="13">
        <f t="shared" si="15"/>
        <v>154</v>
      </c>
      <c r="AC65" s="25">
        <f t="shared" si="16"/>
        <v>1.6041666666666667</v>
      </c>
    </row>
    <row r="66" spans="1:29" x14ac:dyDescent="0.2">
      <c r="A66" s="2" t="s">
        <v>323</v>
      </c>
      <c r="B66" s="13">
        <v>15</v>
      </c>
      <c r="C66" s="13">
        <v>1</v>
      </c>
      <c r="D66" s="13">
        <v>0</v>
      </c>
      <c r="E66" s="13">
        <v>15</v>
      </c>
      <c r="F66" s="13">
        <v>1</v>
      </c>
      <c r="G66" s="13">
        <v>0</v>
      </c>
      <c r="H66" s="13">
        <v>16</v>
      </c>
      <c r="I66" s="13">
        <v>0</v>
      </c>
      <c r="J66" s="13">
        <v>0</v>
      </c>
      <c r="K66" s="13">
        <v>16</v>
      </c>
      <c r="L66" s="13">
        <v>0</v>
      </c>
      <c r="M66" s="15">
        <v>0</v>
      </c>
      <c r="N66" s="15">
        <v>62</v>
      </c>
      <c r="O66" s="15">
        <v>2</v>
      </c>
      <c r="P66" s="15">
        <v>0</v>
      </c>
      <c r="Q66" s="15">
        <v>2</v>
      </c>
      <c r="R66" s="37">
        <f>(62/64)*100</f>
        <v>96.875</v>
      </c>
      <c r="S66" s="37">
        <f>(2/64)*100</f>
        <v>3.125</v>
      </c>
      <c r="T66" s="37">
        <v>0</v>
      </c>
      <c r="U66" s="25">
        <v>3.13</v>
      </c>
      <c r="W66" s="2" t="s">
        <v>323</v>
      </c>
      <c r="X66" s="13">
        <v>11</v>
      </c>
      <c r="Y66" s="13">
        <v>11</v>
      </c>
      <c r="Z66" s="13">
        <v>11</v>
      </c>
      <c r="AA66" s="13">
        <v>10</v>
      </c>
      <c r="AB66" s="13">
        <f t="shared" si="15"/>
        <v>43</v>
      </c>
      <c r="AC66" s="25">
        <f t="shared" si="16"/>
        <v>0.44791666666666669</v>
      </c>
    </row>
    <row r="67" spans="1:29" x14ac:dyDescent="0.2">
      <c r="A67" s="2" t="s">
        <v>327</v>
      </c>
      <c r="B67" s="13">
        <v>16</v>
      </c>
      <c r="C67" s="13">
        <v>0</v>
      </c>
      <c r="D67" s="13">
        <v>0</v>
      </c>
      <c r="E67" s="13">
        <v>15</v>
      </c>
      <c r="F67" s="13">
        <v>1</v>
      </c>
      <c r="G67" s="13">
        <v>0</v>
      </c>
      <c r="H67" s="13">
        <v>16</v>
      </c>
      <c r="I67" s="13">
        <v>0</v>
      </c>
      <c r="J67" s="13">
        <v>0</v>
      </c>
      <c r="K67" s="13">
        <v>16</v>
      </c>
      <c r="L67" s="13">
        <v>0</v>
      </c>
      <c r="M67" s="15">
        <v>0</v>
      </c>
      <c r="N67" s="15">
        <v>63</v>
      </c>
      <c r="O67" s="15">
        <v>1</v>
      </c>
      <c r="P67" s="15">
        <v>0</v>
      </c>
      <c r="Q67" s="15">
        <v>1</v>
      </c>
      <c r="R67" s="37">
        <f>(63/64)*100</f>
        <v>98.4375</v>
      </c>
      <c r="S67" s="37">
        <f>(1/64)*100</f>
        <v>1.5625</v>
      </c>
      <c r="T67" s="37">
        <v>0</v>
      </c>
      <c r="U67" s="25">
        <f>(1/64)*100</f>
        <v>1.5625</v>
      </c>
      <c r="W67" s="2" t="s">
        <v>327</v>
      </c>
      <c r="X67" s="13">
        <v>9</v>
      </c>
      <c r="Y67" s="13">
        <v>19</v>
      </c>
      <c r="Z67" s="13">
        <v>19</v>
      </c>
      <c r="AA67" s="13">
        <v>18</v>
      </c>
      <c r="AB67" s="13">
        <f t="shared" si="15"/>
        <v>65</v>
      </c>
      <c r="AC67" s="25">
        <f t="shared" si="16"/>
        <v>0.67708333333333337</v>
      </c>
    </row>
    <row r="68" spans="1:29" x14ac:dyDescent="0.2">
      <c r="A68" s="2" t="s">
        <v>333</v>
      </c>
      <c r="B68" s="13">
        <v>16</v>
      </c>
      <c r="C68" s="13">
        <v>0</v>
      </c>
      <c r="D68" s="13">
        <v>0</v>
      </c>
      <c r="E68" s="13">
        <v>16</v>
      </c>
      <c r="F68" s="13">
        <v>0</v>
      </c>
      <c r="G68" s="13">
        <v>0</v>
      </c>
      <c r="H68" s="13">
        <v>16</v>
      </c>
      <c r="I68" s="13">
        <v>0</v>
      </c>
      <c r="J68" s="13">
        <v>0</v>
      </c>
      <c r="K68" s="13">
        <v>16</v>
      </c>
      <c r="L68" s="13">
        <v>0</v>
      </c>
      <c r="M68" s="15">
        <v>0</v>
      </c>
      <c r="N68" s="15">
        <v>64</v>
      </c>
      <c r="O68" s="15">
        <v>0</v>
      </c>
      <c r="P68" s="15">
        <v>0</v>
      </c>
      <c r="Q68" s="15">
        <v>0</v>
      </c>
      <c r="R68" s="37">
        <v>100</v>
      </c>
      <c r="S68" s="37">
        <v>0</v>
      </c>
      <c r="T68" s="37">
        <v>0</v>
      </c>
      <c r="U68" s="25">
        <v>0</v>
      </c>
      <c r="W68" s="2" t="s">
        <v>333</v>
      </c>
      <c r="X68" s="13">
        <v>15</v>
      </c>
      <c r="Y68" s="13">
        <v>16</v>
      </c>
      <c r="Z68" s="13">
        <v>16</v>
      </c>
      <c r="AA68" s="13">
        <v>17</v>
      </c>
      <c r="AB68" s="13">
        <f t="shared" si="15"/>
        <v>64</v>
      </c>
      <c r="AC68" s="25">
        <f t="shared" si="16"/>
        <v>0.66666666666666663</v>
      </c>
    </row>
    <row r="69" spans="1:29" x14ac:dyDescent="0.2">
      <c r="A69" s="2" t="s">
        <v>356</v>
      </c>
      <c r="B69" s="13">
        <v>14</v>
      </c>
      <c r="C69" s="13">
        <v>1</v>
      </c>
      <c r="D69" s="13">
        <v>1</v>
      </c>
      <c r="E69" s="13">
        <v>16</v>
      </c>
      <c r="F69" s="13">
        <v>0</v>
      </c>
      <c r="G69" s="13">
        <v>0</v>
      </c>
      <c r="H69" s="13">
        <v>16</v>
      </c>
      <c r="I69" s="13">
        <v>0</v>
      </c>
      <c r="J69" s="13">
        <v>0</v>
      </c>
      <c r="K69" s="13">
        <v>16</v>
      </c>
      <c r="L69" s="13">
        <v>0</v>
      </c>
      <c r="M69" s="15">
        <v>0</v>
      </c>
      <c r="N69" s="15">
        <v>62</v>
      </c>
      <c r="O69" s="15">
        <v>1</v>
      </c>
      <c r="P69" s="15">
        <v>1</v>
      </c>
      <c r="Q69" s="15">
        <v>2</v>
      </c>
      <c r="R69" s="37">
        <f>(62/64)*100</f>
        <v>96.875</v>
      </c>
      <c r="S69" s="37">
        <f>(1/64)*100</f>
        <v>1.5625</v>
      </c>
      <c r="T69" s="37">
        <f>(1/64)*100</f>
        <v>1.5625</v>
      </c>
      <c r="U69" s="25">
        <v>3.13</v>
      </c>
      <c r="W69" s="2" t="s">
        <v>356</v>
      </c>
      <c r="X69" s="13">
        <v>13</v>
      </c>
      <c r="Y69" s="13">
        <v>12</v>
      </c>
      <c r="Z69" s="13">
        <v>11</v>
      </c>
      <c r="AA69" s="13">
        <v>11</v>
      </c>
      <c r="AB69" s="13">
        <f t="shared" si="15"/>
        <v>47</v>
      </c>
      <c r="AC69" s="25">
        <f t="shared" si="16"/>
        <v>0.48958333333333331</v>
      </c>
    </row>
    <row r="70" spans="1:29" x14ac:dyDescent="0.2">
      <c r="A70" s="2" t="s">
        <v>360</v>
      </c>
      <c r="B70" s="13">
        <v>16</v>
      </c>
      <c r="C70" s="13">
        <v>0</v>
      </c>
      <c r="D70" s="13">
        <v>0</v>
      </c>
      <c r="E70" s="13">
        <v>16</v>
      </c>
      <c r="F70" s="13">
        <v>0</v>
      </c>
      <c r="G70" s="13">
        <v>0</v>
      </c>
      <c r="H70" s="13">
        <v>16</v>
      </c>
      <c r="I70" s="13">
        <v>0</v>
      </c>
      <c r="J70" s="13">
        <v>0</v>
      </c>
      <c r="K70" s="13">
        <v>16</v>
      </c>
      <c r="L70" s="13">
        <v>0</v>
      </c>
      <c r="M70" s="15">
        <v>0</v>
      </c>
      <c r="N70" s="15">
        <v>64</v>
      </c>
      <c r="O70" s="15">
        <v>0</v>
      </c>
      <c r="P70" s="15">
        <v>0</v>
      </c>
      <c r="Q70" s="15">
        <v>0</v>
      </c>
      <c r="R70" s="37">
        <v>100</v>
      </c>
      <c r="S70" s="37">
        <v>0</v>
      </c>
      <c r="T70" s="37">
        <v>0</v>
      </c>
      <c r="U70" s="25">
        <v>0</v>
      </c>
      <c r="W70" s="2" t="s">
        <v>360</v>
      </c>
      <c r="X70" s="13">
        <v>17</v>
      </c>
      <c r="Y70" s="13">
        <v>17</v>
      </c>
      <c r="Z70" s="13">
        <v>17</v>
      </c>
      <c r="AA70" s="13">
        <v>19</v>
      </c>
      <c r="AB70" s="13">
        <f t="shared" si="15"/>
        <v>70</v>
      </c>
      <c r="AC70" s="25">
        <f t="shared" si="16"/>
        <v>0.72916666666666663</v>
      </c>
    </row>
    <row r="71" spans="1:29" x14ac:dyDescent="0.2">
      <c r="A71" s="2" t="s">
        <v>367</v>
      </c>
      <c r="B71" s="13">
        <v>15</v>
      </c>
      <c r="C71" s="13">
        <v>0</v>
      </c>
      <c r="D71" s="13">
        <v>1</v>
      </c>
      <c r="E71" s="13">
        <v>16</v>
      </c>
      <c r="F71" s="13">
        <v>0</v>
      </c>
      <c r="G71" s="13">
        <v>0</v>
      </c>
      <c r="H71" s="13">
        <v>16</v>
      </c>
      <c r="I71" s="13">
        <v>0</v>
      </c>
      <c r="J71" s="13">
        <v>0</v>
      </c>
      <c r="K71" s="13">
        <v>15</v>
      </c>
      <c r="L71" s="13">
        <v>1</v>
      </c>
      <c r="M71" s="15">
        <v>0</v>
      </c>
      <c r="N71" s="15">
        <v>62</v>
      </c>
      <c r="O71" s="15">
        <v>1</v>
      </c>
      <c r="P71" s="15">
        <v>1</v>
      </c>
      <c r="Q71" s="15">
        <v>2</v>
      </c>
      <c r="R71" s="37">
        <f>(62/64)*100</f>
        <v>96.875</v>
      </c>
      <c r="S71" s="37">
        <f>(1/64)*100</f>
        <v>1.5625</v>
      </c>
      <c r="T71" s="37">
        <f>(1/64)*100</f>
        <v>1.5625</v>
      </c>
      <c r="U71" s="25">
        <f>(2/64)*100</f>
        <v>3.125</v>
      </c>
      <c r="W71" s="2" t="s">
        <v>367</v>
      </c>
      <c r="X71" s="13">
        <v>22</v>
      </c>
      <c r="Y71" s="13">
        <v>19</v>
      </c>
      <c r="Z71" s="13">
        <v>19</v>
      </c>
      <c r="AA71" s="13">
        <v>18</v>
      </c>
      <c r="AB71" s="13">
        <f t="shared" si="15"/>
        <v>78</v>
      </c>
      <c r="AC71" s="25">
        <f t="shared" si="16"/>
        <v>0.8125</v>
      </c>
    </row>
    <row r="72" spans="1:29" x14ac:dyDescent="0.2">
      <c r="A72" s="2" t="s">
        <v>377</v>
      </c>
      <c r="B72" s="13">
        <v>16</v>
      </c>
      <c r="C72" s="13">
        <v>0</v>
      </c>
      <c r="D72" s="13">
        <v>0</v>
      </c>
      <c r="E72" s="13">
        <v>16</v>
      </c>
      <c r="F72" s="13">
        <v>0</v>
      </c>
      <c r="G72" s="13">
        <v>0</v>
      </c>
      <c r="H72" s="13">
        <v>16</v>
      </c>
      <c r="I72" s="13">
        <v>0</v>
      </c>
      <c r="J72" s="13">
        <v>0</v>
      </c>
      <c r="K72" s="13">
        <v>16</v>
      </c>
      <c r="L72" s="13">
        <v>0</v>
      </c>
      <c r="M72" s="15">
        <v>0</v>
      </c>
      <c r="N72" s="15">
        <v>64</v>
      </c>
      <c r="O72" s="15">
        <v>0</v>
      </c>
      <c r="P72" s="15">
        <v>0</v>
      </c>
      <c r="Q72" s="15">
        <v>0</v>
      </c>
      <c r="R72" s="37">
        <v>100</v>
      </c>
      <c r="S72" s="37">
        <v>0</v>
      </c>
      <c r="T72" s="37">
        <v>0</v>
      </c>
      <c r="U72" s="25">
        <v>0</v>
      </c>
      <c r="W72" s="2" t="s">
        <v>377</v>
      </c>
      <c r="X72" s="13">
        <v>12</v>
      </c>
      <c r="Y72" s="13">
        <v>12</v>
      </c>
      <c r="Z72" s="13">
        <v>12</v>
      </c>
      <c r="AA72" s="13">
        <v>13</v>
      </c>
      <c r="AB72" s="13">
        <f t="shared" si="15"/>
        <v>49</v>
      </c>
      <c r="AC72" s="25">
        <f t="shared" si="16"/>
        <v>0.51041666666666663</v>
      </c>
    </row>
    <row r="73" spans="1:29" x14ac:dyDescent="0.2">
      <c r="A73" s="2" t="s">
        <v>419</v>
      </c>
      <c r="B73" s="13">
        <v>15</v>
      </c>
      <c r="C73" s="13">
        <v>0</v>
      </c>
      <c r="D73" s="13">
        <v>1</v>
      </c>
      <c r="E73" s="13">
        <v>16</v>
      </c>
      <c r="F73" s="13">
        <v>0</v>
      </c>
      <c r="G73" s="13">
        <v>0</v>
      </c>
      <c r="H73" s="13">
        <v>16</v>
      </c>
      <c r="I73" s="13">
        <v>0</v>
      </c>
      <c r="J73" s="13">
        <v>0</v>
      </c>
      <c r="K73" s="13">
        <v>16</v>
      </c>
      <c r="L73" s="13">
        <v>0</v>
      </c>
      <c r="M73" s="15">
        <v>0</v>
      </c>
      <c r="N73" s="15">
        <v>63</v>
      </c>
      <c r="O73" s="15">
        <v>0</v>
      </c>
      <c r="P73" s="15">
        <v>1</v>
      </c>
      <c r="Q73" s="15">
        <v>1</v>
      </c>
      <c r="R73" s="37">
        <f>(63/64)*100</f>
        <v>98.4375</v>
      </c>
      <c r="S73" s="37">
        <v>0</v>
      </c>
      <c r="T73" s="37">
        <f>(1/64)*100</f>
        <v>1.5625</v>
      </c>
      <c r="U73" s="25">
        <v>1.56</v>
      </c>
      <c r="W73" s="2" t="s">
        <v>419</v>
      </c>
      <c r="X73" s="13">
        <v>24</v>
      </c>
      <c r="Y73" s="13">
        <v>26</v>
      </c>
      <c r="Z73" s="13">
        <v>27</v>
      </c>
      <c r="AA73" s="13">
        <v>27</v>
      </c>
      <c r="AB73" s="13">
        <f t="shared" si="15"/>
        <v>104</v>
      </c>
      <c r="AC73" s="25">
        <f t="shared" si="16"/>
        <v>1.0833333333333333</v>
      </c>
    </row>
    <row r="74" spans="1:29" x14ac:dyDescent="0.2">
      <c r="A74" s="2" t="s">
        <v>424</v>
      </c>
      <c r="B74" s="13">
        <v>16</v>
      </c>
      <c r="C74" s="13">
        <v>0</v>
      </c>
      <c r="D74" s="13">
        <v>0</v>
      </c>
      <c r="E74" s="13">
        <v>16</v>
      </c>
      <c r="F74" s="13">
        <v>0</v>
      </c>
      <c r="G74" s="13">
        <v>0</v>
      </c>
      <c r="H74" s="13">
        <v>14</v>
      </c>
      <c r="I74" s="13">
        <v>0</v>
      </c>
      <c r="J74" s="13">
        <v>2</v>
      </c>
      <c r="K74" s="13">
        <v>16</v>
      </c>
      <c r="L74" s="13">
        <v>0</v>
      </c>
      <c r="M74" s="15">
        <v>0</v>
      </c>
      <c r="N74" s="15">
        <v>62</v>
      </c>
      <c r="O74" s="15">
        <v>0</v>
      </c>
      <c r="P74" s="15">
        <v>2</v>
      </c>
      <c r="Q74" s="15">
        <v>2</v>
      </c>
      <c r="R74" s="37">
        <f>(62/64)*100</f>
        <v>96.875</v>
      </c>
      <c r="S74" s="37">
        <v>0</v>
      </c>
      <c r="T74" s="25">
        <f>(2/64)*100</f>
        <v>3.125</v>
      </c>
      <c r="U74" s="25">
        <f>(2/64)*100</f>
        <v>3.125</v>
      </c>
      <c r="W74" s="2" t="s">
        <v>424</v>
      </c>
      <c r="X74" s="13">
        <v>15</v>
      </c>
      <c r="Y74" s="13">
        <v>18</v>
      </c>
      <c r="Z74" s="13">
        <v>21</v>
      </c>
      <c r="AA74" s="13">
        <v>20</v>
      </c>
      <c r="AB74" s="13">
        <f t="shared" si="15"/>
        <v>74</v>
      </c>
      <c r="AC74" s="25">
        <f t="shared" si="16"/>
        <v>0.77083333333333337</v>
      </c>
    </row>
    <row r="75" spans="1:29" x14ac:dyDescent="0.2">
      <c r="A75" s="2" t="s">
        <v>443</v>
      </c>
      <c r="B75" s="13">
        <v>16</v>
      </c>
      <c r="C75" s="13">
        <v>0</v>
      </c>
      <c r="D75" s="13">
        <v>0</v>
      </c>
      <c r="E75" s="13">
        <v>16</v>
      </c>
      <c r="F75" s="13">
        <v>0</v>
      </c>
      <c r="G75" s="13">
        <v>0</v>
      </c>
      <c r="H75" s="13">
        <v>16</v>
      </c>
      <c r="I75" s="13">
        <v>0</v>
      </c>
      <c r="J75" s="13">
        <v>0</v>
      </c>
      <c r="K75" s="13">
        <v>16</v>
      </c>
      <c r="L75" s="13">
        <v>0</v>
      </c>
      <c r="M75" s="15">
        <v>0</v>
      </c>
      <c r="N75" s="15">
        <v>64</v>
      </c>
      <c r="O75" s="15">
        <v>0</v>
      </c>
      <c r="P75" s="15">
        <v>0</v>
      </c>
      <c r="Q75" s="15">
        <v>0</v>
      </c>
      <c r="R75" s="37">
        <v>100</v>
      </c>
      <c r="S75" s="37">
        <v>0</v>
      </c>
      <c r="T75" s="37">
        <v>0</v>
      </c>
      <c r="U75" s="25">
        <v>0</v>
      </c>
      <c r="W75" s="2" t="s">
        <v>443</v>
      </c>
      <c r="X75" s="13">
        <v>23</v>
      </c>
      <c r="Y75" s="13">
        <v>21</v>
      </c>
      <c r="Z75" s="13">
        <v>22</v>
      </c>
      <c r="AA75" s="13">
        <v>24</v>
      </c>
      <c r="AB75" s="13">
        <f t="shared" si="15"/>
        <v>90</v>
      </c>
      <c r="AC75" s="25">
        <f t="shared" si="16"/>
        <v>0.9375</v>
      </c>
    </row>
    <row r="76" spans="1:29" x14ac:dyDescent="0.2">
      <c r="A76" s="2" t="s">
        <v>446</v>
      </c>
      <c r="B76" s="13">
        <v>16</v>
      </c>
      <c r="C76" s="13">
        <v>0</v>
      </c>
      <c r="D76" s="13">
        <v>0</v>
      </c>
      <c r="E76" s="13">
        <v>16</v>
      </c>
      <c r="F76" s="13">
        <v>0</v>
      </c>
      <c r="G76" s="13">
        <v>0</v>
      </c>
      <c r="H76" s="13">
        <v>16</v>
      </c>
      <c r="I76" s="13">
        <v>0</v>
      </c>
      <c r="J76" s="13">
        <v>0</v>
      </c>
      <c r="K76" s="13">
        <v>16</v>
      </c>
      <c r="L76" s="13">
        <v>0</v>
      </c>
      <c r="M76" s="15">
        <v>0</v>
      </c>
      <c r="N76" s="15">
        <v>64</v>
      </c>
      <c r="O76" s="15">
        <v>0</v>
      </c>
      <c r="P76" s="15">
        <v>0</v>
      </c>
      <c r="Q76" s="15">
        <v>0</v>
      </c>
      <c r="R76" s="37">
        <v>100</v>
      </c>
      <c r="S76" s="37">
        <v>0</v>
      </c>
      <c r="T76" s="37">
        <v>0</v>
      </c>
      <c r="U76" s="25">
        <v>0</v>
      </c>
      <c r="W76" s="2" t="s">
        <v>446</v>
      </c>
      <c r="X76" s="13">
        <v>15</v>
      </c>
      <c r="Y76" s="13">
        <v>14</v>
      </c>
      <c r="Z76" s="13">
        <v>13</v>
      </c>
      <c r="AA76" s="13">
        <v>15</v>
      </c>
      <c r="AB76" s="13">
        <f t="shared" si="15"/>
        <v>57</v>
      </c>
      <c r="AC76" s="25">
        <f t="shared" si="16"/>
        <v>0.59375</v>
      </c>
    </row>
    <row r="77" spans="1:29" x14ac:dyDescent="0.2">
      <c r="A77" s="2" t="s">
        <v>465</v>
      </c>
      <c r="B77" s="13">
        <v>15</v>
      </c>
      <c r="C77" s="13">
        <v>1</v>
      </c>
      <c r="D77" s="13">
        <v>0</v>
      </c>
      <c r="E77" s="13">
        <v>16</v>
      </c>
      <c r="F77" s="13">
        <v>0</v>
      </c>
      <c r="G77" s="13">
        <v>0</v>
      </c>
      <c r="H77" s="13">
        <v>16</v>
      </c>
      <c r="I77" s="13">
        <v>0</v>
      </c>
      <c r="J77" s="13">
        <v>0</v>
      </c>
      <c r="K77" s="13">
        <v>16</v>
      </c>
      <c r="L77" s="13">
        <v>0</v>
      </c>
      <c r="M77" s="15">
        <v>0</v>
      </c>
      <c r="N77" s="15">
        <v>63</v>
      </c>
      <c r="O77" s="15">
        <v>1</v>
      </c>
      <c r="P77" s="15">
        <v>0</v>
      </c>
      <c r="Q77" s="15">
        <v>1</v>
      </c>
      <c r="R77" s="37">
        <f>(63/64)*100</f>
        <v>98.4375</v>
      </c>
      <c r="S77" s="37">
        <f>(1/64)*100</f>
        <v>1.5625</v>
      </c>
      <c r="T77" s="37">
        <v>0</v>
      </c>
      <c r="U77" s="25">
        <v>1.56</v>
      </c>
      <c r="W77" s="2" t="s">
        <v>465</v>
      </c>
      <c r="X77" s="13">
        <v>17</v>
      </c>
      <c r="Y77" s="13">
        <v>18</v>
      </c>
      <c r="Z77" s="13">
        <v>17</v>
      </c>
      <c r="AA77" s="13">
        <v>17</v>
      </c>
      <c r="AB77" s="13">
        <f t="shared" si="15"/>
        <v>69</v>
      </c>
      <c r="AC77" s="25">
        <f t="shared" si="16"/>
        <v>0.71875</v>
      </c>
    </row>
    <row r="78" spans="1:29" x14ac:dyDescent="0.2">
      <c r="A78" s="2" t="s">
        <v>487</v>
      </c>
      <c r="B78" s="13">
        <v>15</v>
      </c>
      <c r="C78" s="13">
        <v>1</v>
      </c>
      <c r="D78" s="13">
        <v>0</v>
      </c>
      <c r="E78" s="13">
        <v>15</v>
      </c>
      <c r="F78" s="13">
        <v>1</v>
      </c>
      <c r="G78" s="13">
        <v>0</v>
      </c>
      <c r="H78" s="13">
        <v>15</v>
      </c>
      <c r="I78" s="13">
        <v>1</v>
      </c>
      <c r="J78" s="13">
        <v>0</v>
      </c>
      <c r="K78" s="13">
        <v>16</v>
      </c>
      <c r="L78" s="13">
        <v>0</v>
      </c>
      <c r="M78" s="15">
        <v>0</v>
      </c>
      <c r="N78" s="15">
        <f>SUM(B78,E78,H78,K78)</f>
        <v>61</v>
      </c>
      <c r="O78" s="15">
        <v>3</v>
      </c>
      <c r="P78" s="15">
        <v>0</v>
      </c>
      <c r="Q78" s="15">
        <v>3</v>
      </c>
      <c r="R78" s="37">
        <f>(61/64)*100</f>
        <v>95.3125</v>
      </c>
      <c r="S78" s="37">
        <f>(3/64)*100</f>
        <v>4.6875</v>
      </c>
      <c r="T78" s="37">
        <v>0</v>
      </c>
      <c r="U78" s="25">
        <f>(3/64)*100</f>
        <v>4.6875</v>
      </c>
      <c r="W78" s="2" t="s">
        <v>487</v>
      </c>
      <c r="X78" s="13">
        <v>19</v>
      </c>
      <c r="Y78" s="13">
        <v>21</v>
      </c>
      <c r="Z78" s="13">
        <v>21</v>
      </c>
      <c r="AA78" s="13">
        <v>21</v>
      </c>
      <c r="AB78" s="13">
        <f t="shared" si="15"/>
        <v>82</v>
      </c>
      <c r="AC78" s="25">
        <f t="shared" si="16"/>
        <v>0.85416666666666663</v>
      </c>
    </row>
    <row r="79" spans="1:29" x14ac:dyDescent="0.2">
      <c r="A79" s="2" t="s">
        <v>490</v>
      </c>
      <c r="B79" s="13">
        <v>16</v>
      </c>
      <c r="C79" s="13">
        <v>0</v>
      </c>
      <c r="D79" s="13">
        <v>0</v>
      </c>
      <c r="E79" s="13">
        <v>16</v>
      </c>
      <c r="F79" s="13">
        <v>0</v>
      </c>
      <c r="G79" s="13">
        <v>0</v>
      </c>
      <c r="H79" s="13">
        <v>16</v>
      </c>
      <c r="I79" s="13">
        <v>0</v>
      </c>
      <c r="J79" s="13">
        <v>0</v>
      </c>
      <c r="K79" s="13">
        <v>16</v>
      </c>
      <c r="L79" s="13">
        <v>0</v>
      </c>
      <c r="M79" s="15">
        <v>0</v>
      </c>
      <c r="N79" s="15">
        <v>64</v>
      </c>
      <c r="O79" s="15">
        <v>0</v>
      </c>
      <c r="P79" s="15">
        <v>0</v>
      </c>
      <c r="Q79" s="15">
        <v>0</v>
      </c>
      <c r="R79" s="37">
        <v>100</v>
      </c>
      <c r="S79" s="37">
        <v>0</v>
      </c>
      <c r="T79" s="37">
        <v>0</v>
      </c>
      <c r="U79" s="25">
        <v>0</v>
      </c>
      <c r="W79" s="2" t="s">
        <v>490</v>
      </c>
      <c r="X79" s="13">
        <v>18</v>
      </c>
      <c r="Y79" s="13">
        <v>18</v>
      </c>
      <c r="Z79" s="13">
        <v>18</v>
      </c>
      <c r="AA79" s="13">
        <v>17</v>
      </c>
      <c r="AB79" s="13">
        <f t="shared" si="15"/>
        <v>71</v>
      </c>
      <c r="AC79" s="25">
        <f t="shared" si="16"/>
        <v>0.73958333333333337</v>
      </c>
    </row>
    <row r="80" spans="1:29" x14ac:dyDescent="0.2">
      <c r="A80" s="2" t="s">
        <v>498</v>
      </c>
      <c r="B80" s="13">
        <v>16</v>
      </c>
      <c r="C80" s="13">
        <v>0</v>
      </c>
      <c r="D80" s="13">
        <v>0</v>
      </c>
      <c r="E80" s="13">
        <v>15</v>
      </c>
      <c r="F80" s="13">
        <v>1</v>
      </c>
      <c r="G80" s="13">
        <v>0</v>
      </c>
      <c r="H80" s="13">
        <v>15</v>
      </c>
      <c r="I80" s="13">
        <v>0</v>
      </c>
      <c r="J80" s="13">
        <v>1</v>
      </c>
      <c r="K80" s="13">
        <v>16</v>
      </c>
      <c r="L80" s="13">
        <v>0</v>
      </c>
      <c r="M80" s="15">
        <v>0</v>
      </c>
      <c r="N80" s="15">
        <v>62</v>
      </c>
      <c r="O80" s="15">
        <v>1</v>
      </c>
      <c r="P80" s="15">
        <v>1</v>
      </c>
      <c r="Q80" s="15">
        <v>2</v>
      </c>
      <c r="R80" s="37">
        <f>(62/64)*100</f>
        <v>96.875</v>
      </c>
      <c r="S80" s="37">
        <f>(1/64)*100</f>
        <v>1.5625</v>
      </c>
      <c r="T80" s="37">
        <f>(1/64)*100</f>
        <v>1.5625</v>
      </c>
      <c r="U80" s="25">
        <f>(2/64)*100</f>
        <v>3.125</v>
      </c>
      <c r="W80" s="2" t="s">
        <v>498</v>
      </c>
      <c r="X80" s="13">
        <v>20</v>
      </c>
      <c r="Y80" s="13">
        <v>15</v>
      </c>
      <c r="Z80" s="13">
        <v>16</v>
      </c>
      <c r="AA80" s="13">
        <v>16</v>
      </c>
      <c r="AB80" s="13">
        <f t="shared" si="15"/>
        <v>67</v>
      </c>
      <c r="AC80" s="25">
        <f t="shared" si="16"/>
        <v>0.69791666666666663</v>
      </c>
    </row>
    <row r="81" spans="1:29" x14ac:dyDescent="0.2">
      <c r="A81" s="2" t="s">
        <v>509</v>
      </c>
      <c r="B81" s="13">
        <v>14</v>
      </c>
      <c r="C81" s="13">
        <v>0</v>
      </c>
      <c r="D81" s="13">
        <v>2</v>
      </c>
      <c r="E81" s="13">
        <v>14</v>
      </c>
      <c r="F81" s="13">
        <v>0</v>
      </c>
      <c r="G81" s="13">
        <v>2</v>
      </c>
      <c r="H81" s="13">
        <v>15</v>
      </c>
      <c r="I81" s="13">
        <v>0</v>
      </c>
      <c r="J81" s="13">
        <v>1</v>
      </c>
      <c r="K81" s="13">
        <v>16</v>
      </c>
      <c r="L81" s="13">
        <v>0</v>
      </c>
      <c r="M81" s="15">
        <v>0</v>
      </c>
      <c r="N81" s="15">
        <f>SUM(B81,E81,H81,K81)</f>
        <v>59</v>
      </c>
      <c r="O81" s="15">
        <v>0</v>
      </c>
      <c r="P81" s="15">
        <v>5</v>
      </c>
      <c r="Q81" s="15">
        <v>5</v>
      </c>
      <c r="R81" s="37">
        <f>(59/64)*100</f>
        <v>92.1875</v>
      </c>
      <c r="S81" s="37">
        <v>0</v>
      </c>
      <c r="T81" s="37">
        <f>(5/64)*100</f>
        <v>7.8125</v>
      </c>
      <c r="U81" s="25">
        <f>(5/64)*100</f>
        <v>7.8125</v>
      </c>
      <c r="W81" s="2" t="s">
        <v>509</v>
      </c>
      <c r="X81" s="13">
        <v>10</v>
      </c>
      <c r="Y81" s="13">
        <v>12</v>
      </c>
      <c r="Z81" s="13">
        <v>10</v>
      </c>
      <c r="AA81" s="13">
        <v>9</v>
      </c>
      <c r="AB81" s="13">
        <f t="shared" si="15"/>
        <v>41</v>
      </c>
      <c r="AC81" s="25">
        <f t="shared" si="16"/>
        <v>0.42708333333333331</v>
      </c>
    </row>
    <row r="82" spans="1:29" x14ac:dyDescent="0.2">
      <c r="A82" s="2" t="s">
        <v>513</v>
      </c>
      <c r="B82" s="13">
        <v>16</v>
      </c>
      <c r="C82" s="13">
        <v>0</v>
      </c>
      <c r="D82" s="13">
        <v>0</v>
      </c>
      <c r="E82" s="13">
        <v>16</v>
      </c>
      <c r="F82" s="13">
        <v>0</v>
      </c>
      <c r="G82" s="13">
        <v>0</v>
      </c>
      <c r="H82" s="13">
        <v>10</v>
      </c>
      <c r="I82" s="13">
        <v>0</v>
      </c>
      <c r="J82" s="13">
        <v>6</v>
      </c>
      <c r="K82" s="13">
        <v>12</v>
      </c>
      <c r="L82" s="13">
        <v>1</v>
      </c>
      <c r="M82" s="15">
        <v>3</v>
      </c>
      <c r="N82" s="15">
        <f>SUM(B82,E82,H82,K82)</f>
        <v>54</v>
      </c>
      <c r="O82" s="15">
        <v>1</v>
      </c>
      <c r="P82" s="15">
        <v>9</v>
      </c>
      <c r="Q82" s="15">
        <v>10</v>
      </c>
      <c r="R82" s="37">
        <f>(54/64)*100</f>
        <v>84.375</v>
      </c>
      <c r="S82" s="37">
        <f>(1/64)*100</f>
        <v>1.5625</v>
      </c>
      <c r="T82" s="37">
        <f>(9/64)*100</f>
        <v>14.0625</v>
      </c>
      <c r="U82" s="25">
        <f>(10/64)*100</f>
        <v>15.625</v>
      </c>
      <c r="W82" s="2" t="s">
        <v>513</v>
      </c>
      <c r="X82" s="13">
        <v>24</v>
      </c>
      <c r="Y82" s="13">
        <v>26</v>
      </c>
      <c r="Z82" s="13">
        <v>27</v>
      </c>
      <c r="AA82" s="13">
        <v>25</v>
      </c>
      <c r="AB82" s="13">
        <f t="shared" si="15"/>
        <v>102</v>
      </c>
      <c r="AC82" s="25">
        <f t="shared" si="16"/>
        <v>1.0625</v>
      </c>
    </row>
    <row r="83" spans="1:29" x14ac:dyDescent="0.2">
      <c r="A83" s="2" t="s">
        <v>522</v>
      </c>
      <c r="B83" s="13">
        <v>16</v>
      </c>
      <c r="C83" s="13">
        <v>0</v>
      </c>
      <c r="D83" s="13">
        <v>0</v>
      </c>
      <c r="E83" s="13">
        <v>16</v>
      </c>
      <c r="F83" s="13">
        <v>0</v>
      </c>
      <c r="G83" s="13">
        <v>0</v>
      </c>
      <c r="H83" s="13">
        <v>16</v>
      </c>
      <c r="I83" s="13">
        <v>0</v>
      </c>
      <c r="J83" s="13">
        <v>0</v>
      </c>
      <c r="K83" s="13">
        <v>16</v>
      </c>
      <c r="L83" s="13">
        <v>0</v>
      </c>
      <c r="M83" s="15">
        <v>0</v>
      </c>
      <c r="N83" s="15">
        <v>64</v>
      </c>
      <c r="O83" s="15">
        <v>0</v>
      </c>
      <c r="P83" s="15">
        <v>0</v>
      </c>
      <c r="Q83" s="15">
        <v>0</v>
      </c>
      <c r="R83" s="37">
        <v>100</v>
      </c>
      <c r="S83" s="37">
        <v>0</v>
      </c>
      <c r="T83" s="37">
        <v>0</v>
      </c>
      <c r="U83" s="25">
        <v>0</v>
      </c>
      <c r="W83" s="2" t="s">
        <v>522</v>
      </c>
      <c r="X83" s="13">
        <v>13</v>
      </c>
      <c r="Y83" s="13">
        <v>11</v>
      </c>
      <c r="Z83" s="13">
        <v>10</v>
      </c>
      <c r="AA83" s="13">
        <v>12</v>
      </c>
      <c r="AB83" s="13">
        <f t="shared" si="15"/>
        <v>46</v>
      </c>
      <c r="AC83" s="25">
        <f t="shared" si="16"/>
        <v>0.47916666666666669</v>
      </c>
    </row>
    <row r="84" spans="1:29" x14ac:dyDescent="0.2">
      <c r="A84" s="2" t="s">
        <v>593</v>
      </c>
      <c r="B84" s="13">
        <v>16</v>
      </c>
      <c r="C84" s="13">
        <v>0</v>
      </c>
      <c r="D84" s="13">
        <v>0</v>
      </c>
      <c r="E84" s="13">
        <v>16</v>
      </c>
      <c r="F84" s="13">
        <v>0</v>
      </c>
      <c r="G84" s="13">
        <v>0</v>
      </c>
      <c r="H84" s="13">
        <v>16</v>
      </c>
      <c r="I84" s="13">
        <v>0</v>
      </c>
      <c r="J84" s="13">
        <v>0</v>
      </c>
      <c r="K84" s="13">
        <v>16</v>
      </c>
      <c r="L84" s="13">
        <v>0</v>
      </c>
      <c r="M84" s="15">
        <v>0</v>
      </c>
      <c r="N84" s="15">
        <v>64</v>
      </c>
      <c r="O84" s="15">
        <v>0</v>
      </c>
      <c r="P84" s="15">
        <v>0</v>
      </c>
      <c r="Q84" s="15">
        <v>0</v>
      </c>
      <c r="R84" s="37">
        <v>100</v>
      </c>
      <c r="S84" s="37">
        <v>0</v>
      </c>
      <c r="T84" s="37">
        <v>0</v>
      </c>
      <c r="U84" s="25">
        <v>0</v>
      </c>
      <c r="W84" s="2" t="s">
        <v>593</v>
      </c>
      <c r="X84" s="13">
        <v>10</v>
      </c>
      <c r="Y84" s="13">
        <v>10</v>
      </c>
      <c r="Z84" s="13">
        <v>11</v>
      </c>
      <c r="AA84" s="13">
        <v>16</v>
      </c>
      <c r="AB84" s="13">
        <f t="shared" si="15"/>
        <v>47</v>
      </c>
      <c r="AC84" s="25">
        <f t="shared" si="16"/>
        <v>0.48958333333333331</v>
      </c>
    </row>
    <row r="85" spans="1:29" x14ac:dyDescent="0.2">
      <c r="E85" s="13" t="s">
        <v>338</v>
      </c>
    </row>
  </sheetData>
  <pageMargins left="0.7" right="0.7" top="0.75" bottom="0.75" header="0.3" footer="0.3"/>
  <pageSetup paperSize="9" orientation="portrait"/>
  <ignoredErrors>
    <ignoredError sqref="R5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84"/>
  <sheetViews>
    <sheetView topLeftCell="N1" zoomScaleNormal="100" workbookViewId="0">
      <pane ySplit="4" topLeftCell="A68" activePane="bottomLeft" state="frozen"/>
      <selection pane="bottomLeft" activeCell="A39" sqref="A39:XFD39"/>
    </sheetView>
  </sheetViews>
  <sheetFormatPr baseColWidth="10" defaultColWidth="8.83203125" defaultRowHeight="15" x14ac:dyDescent="0.2"/>
  <cols>
    <col min="1" max="1" width="12.1640625" style="684" customWidth="1"/>
    <col min="2" max="2" width="9.6640625" style="679" customWidth="1"/>
    <col min="3" max="3" width="8.83203125" style="679"/>
    <col min="4" max="4" width="12.33203125" style="679" bestFit="1" customWidth="1"/>
    <col min="5" max="5" width="10.1640625" style="679" customWidth="1"/>
    <col min="6" max="6" width="8.83203125" style="679"/>
    <col min="7" max="7" width="12.33203125" style="679" bestFit="1" customWidth="1"/>
    <col min="8" max="9" width="8.83203125" style="679"/>
    <col min="10" max="10" width="12.33203125" style="679" bestFit="1" customWidth="1"/>
    <col min="11" max="12" width="8.83203125" style="679"/>
    <col min="13" max="13" width="12.33203125" style="679" bestFit="1" customWidth="1"/>
    <col min="14" max="14" width="12.33203125" style="679" customWidth="1"/>
    <col min="15" max="15" width="16.6640625" style="679" bestFit="1" customWidth="1"/>
    <col min="16" max="16" width="14.1640625" style="679" bestFit="1" customWidth="1"/>
    <col min="17" max="17" width="14.1640625" style="679" customWidth="1"/>
    <col min="18" max="18" width="11" style="680" bestFit="1" customWidth="1"/>
    <col min="19" max="19" width="18.5" style="680" bestFit="1" customWidth="1"/>
    <col min="20" max="20" width="15.83203125" style="680" bestFit="1" customWidth="1"/>
    <col min="21" max="21" width="14.5" style="680" bestFit="1" customWidth="1"/>
    <col min="22" max="22" width="8.83203125" style="681"/>
    <col min="23" max="23" width="14.33203125" style="684" customWidth="1"/>
    <col min="24" max="27" width="8.83203125" style="679"/>
    <col min="28" max="28" width="9.83203125" style="679" bestFit="1" customWidth="1"/>
    <col min="29" max="29" width="15.83203125" style="680" bestFit="1" customWidth="1"/>
    <col min="30" max="16384" width="8.83203125" style="679"/>
  </cols>
  <sheetData>
    <row r="1" spans="1:32" ht="26" x14ac:dyDescent="0.3">
      <c r="A1" s="677"/>
      <c r="B1" s="678" t="s">
        <v>29</v>
      </c>
      <c r="W1" s="682" t="s">
        <v>30</v>
      </c>
    </row>
    <row r="2" spans="1:32" ht="24" x14ac:dyDescent="0.3">
      <c r="A2" s="677"/>
      <c r="B2" s="678"/>
      <c r="W2" s="683" t="s">
        <v>167</v>
      </c>
    </row>
    <row r="3" spans="1:32" x14ac:dyDescent="0.2">
      <c r="B3" s="685" t="s">
        <v>22</v>
      </c>
      <c r="C3" s="685"/>
      <c r="D3" s="685"/>
      <c r="E3" s="685" t="s">
        <v>23</v>
      </c>
      <c r="F3" s="685"/>
      <c r="G3" s="685"/>
      <c r="H3" s="685" t="s">
        <v>24</v>
      </c>
      <c r="I3" s="685"/>
      <c r="J3" s="685"/>
      <c r="K3" s="685" t="s">
        <v>25</v>
      </c>
      <c r="L3" s="686"/>
      <c r="M3" s="686"/>
      <c r="N3" s="687" t="s">
        <v>55</v>
      </c>
      <c r="O3" s="687"/>
      <c r="P3" s="687"/>
      <c r="Q3" s="687"/>
      <c r="R3" s="688" t="s">
        <v>31</v>
      </c>
      <c r="S3" s="688" t="s">
        <v>59</v>
      </c>
      <c r="T3" s="688" t="s">
        <v>60</v>
      </c>
      <c r="U3" s="688" t="s">
        <v>56</v>
      </c>
      <c r="V3" s="689"/>
      <c r="X3" s="685" t="s">
        <v>22</v>
      </c>
      <c r="Y3" s="685" t="s">
        <v>23</v>
      </c>
      <c r="Z3" s="685" t="s">
        <v>24</v>
      </c>
      <c r="AA3" s="685" t="s">
        <v>25</v>
      </c>
      <c r="AB3" s="687" t="s">
        <v>40</v>
      </c>
      <c r="AC3" s="688" t="s">
        <v>32</v>
      </c>
    </row>
    <row r="4" spans="1:32" x14ac:dyDescent="0.2">
      <c r="A4" s="684" t="s">
        <v>35</v>
      </c>
      <c r="B4" s="690" t="s">
        <v>26</v>
      </c>
      <c r="C4" s="690" t="s">
        <v>27</v>
      </c>
      <c r="D4" s="690" t="s">
        <v>28</v>
      </c>
      <c r="E4" s="690" t="s">
        <v>26</v>
      </c>
      <c r="F4" s="690" t="s">
        <v>27</v>
      </c>
      <c r="G4" s="690" t="s">
        <v>28</v>
      </c>
      <c r="H4" s="690" t="s">
        <v>26</v>
      </c>
      <c r="I4" s="690" t="s">
        <v>27</v>
      </c>
      <c r="J4" s="690" t="s">
        <v>28</v>
      </c>
      <c r="K4" s="690" t="s">
        <v>26</v>
      </c>
      <c r="L4" s="690" t="s">
        <v>27</v>
      </c>
      <c r="M4" s="690" t="s">
        <v>28</v>
      </c>
      <c r="N4" s="687" t="s">
        <v>26</v>
      </c>
      <c r="O4" s="687" t="s">
        <v>57</v>
      </c>
      <c r="P4" s="687" t="s">
        <v>58</v>
      </c>
      <c r="Q4" s="687" t="s">
        <v>69</v>
      </c>
      <c r="R4" s="688"/>
      <c r="S4" s="688"/>
      <c r="T4" s="688"/>
      <c r="U4" s="688"/>
      <c r="V4" s="689"/>
      <c r="W4" s="684" t="s">
        <v>35</v>
      </c>
      <c r="AE4" s="691"/>
      <c r="AF4" s="691"/>
    </row>
    <row r="5" spans="1:32" x14ac:dyDescent="0.2">
      <c r="A5" s="684" t="s">
        <v>44</v>
      </c>
      <c r="B5" s="679">
        <v>15</v>
      </c>
      <c r="C5" s="679">
        <v>1</v>
      </c>
      <c r="D5" s="679">
        <v>0</v>
      </c>
      <c r="E5" s="679">
        <v>16</v>
      </c>
      <c r="F5" s="679">
        <v>0</v>
      </c>
      <c r="G5" s="679">
        <v>0</v>
      </c>
      <c r="H5" s="679">
        <v>16</v>
      </c>
      <c r="I5" s="679">
        <v>0</v>
      </c>
      <c r="J5" s="679">
        <v>0</v>
      </c>
      <c r="K5" s="679">
        <v>16</v>
      </c>
      <c r="L5" s="679">
        <v>0</v>
      </c>
      <c r="M5" s="679">
        <v>0</v>
      </c>
      <c r="N5" s="679">
        <v>63</v>
      </c>
      <c r="O5" s="679">
        <v>1</v>
      </c>
      <c r="P5" s="679">
        <v>0</v>
      </c>
      <c r="Q5" s="679">
        <v>1</v>
      </c>
      <c r="R5" s="680">
        <f>(63/64)*100</f>
        <v>98.4375</v>
      </c>
      <c r="S5" s="680">
        <f>(1/64)*100</f>
        <v>1.5625</v>
      </c>
      <c r="T5" s="680">
        <v>0</v>
      </c>
      <c r="U5" s="680">
        <v>1.56</v>
      </c>
      <c r="W5" s="684" t="s">
        <v>44</v>
      </c>
      <c r="X5" s="679">
        <v>12</v>
      </c>
      <c r="Y5" s="679">
        <v>16</v>
      </c>
      <c r="Z5" s="679">
        <v>16</v>
      </c>
      <c r="AA5" s="679">
        <v>14</v>
      </c>
      <c r="AB5" s="679">
        <f>SUM(X5,Y5,Z5,AA5)</f>
        <v>58</v>
      </c>
      <c r="AC5" s="680">
        <f>(X5+Y5+Z5+AA5)/(24+24+24+24)</f>
        <v>0.60416666666666663</v>
      </c>
      <c r="AD5" t="s">
        <v>842</v>
      </c>
    </row>
    <row r="6" spans="1:32" x14ac:dyDescent="0.2">
      <c r="A6" s="684" t="s">
        <v>45</v>
      </c>
      <c r="B6" s="679">
        <v>16</v>
      </c>
      <c r="C6" s="679">
        <v>0</v>
      </c>
      <c r="D6" s="679">
        <v>0</v>
      </c>
      <c r="E6" s="679">
        <v>14</v>
      </c>
      <c r="F6" s="679">
        <v>2</v>
      </c>
      <c r="G6" s="679">
        <v>0</v>
      </c>
      <c r="H6" s="679">
        <v>15</v>
      </c>
      <c r="I6" s="679">
        <v>1</v>
      </c>
      <c r="J6" s="679">
        <v>0</v>
      </c>
      <c r="K6" s="679">
        <v>15</v>
      </c>
      <c r="L6" s="679">
        <v>1</v>
      </c>
      <c r="M6" s="679">
        <v>0</v>
      </c>
      <c r="N6" s="679">
        <v>60</v>
      </c>
      <c r="O6" s="679">
        <v>4</v>
      </c>
      <c r="P6" s="679">
        <v>0</v>
      </c>
      <c r="Q6" s="679">
        <v>4</v>
      </c>
      <c r="R6" s="680">
        <f>(60/64)*100</f>
        <v>93.75</v>
      </c>
      <c r="S6" s="680">
        <f>(4/64)*100</f>
        <v>6.25</v>
      </c>
      <c r="T6" s="680">
        <v>0</v>
      </c>
      <c r="U6" s="680">
        <v>6.25</v>
      </c>
      <c r="V6" s="689"/>
      <c r="W6" s="684" t="s">
        <v>45</v>
      </c>
      <c r="X6" s="679">
        <v>20</v>
      </c>
      <c r="Y6" s="679">
        <v>22</v>
      </c>
      <c r="Z6" s="679">
        <v>21</v>
      </c>
      <c r="AA6" s="679">
        <v>21</v>
      </c>
      <c r="AB6" s="679">
        <f>SUM(X6,Y6,Z6,AA6)</f>
        <v>84</v>
      </c>
      <c r="AC6" s="680">
        <f>(X6+Y6+Z6+AA6)/(24+24+24+24)</f>
        <v>0.875</v>
      </c>
    </row>
    <row r="7" spans="1:32" x14ac:dyDescent="0.2">
      <c r="A7" s="684" t="s">
        <v>46</v>
      </c>
      <c r="B7" s="679">
        <v>16</v>
      </c>
      <c r="C7" s="679">
        <v>0</v>
      </c>
      <c r="D7" s="679">
        <v>0</v>
      </c>
      <c r="E7" s="679">
        <v>16</v>
      </c>
      <c r="F7" s="679">
        <v>0</v>
      </c>
      <c r="G7" s="679">
        <v>0</v>
      </c>
      <c r="H7" s="679">
        <v>16</v>
      </c>
      <c r="I7" s="679">
        <v>0</v>
      </c>
      <c r="J7" s="679">
        <v>0</v>
      </c>
      <c r="K7" s="679">
        <v>15</v>
      </c>
      <c r="L7" s="679">
        <v>0</v>
      </c>
      <c r="M7" s="679">
        <v>1</v>
      </c>
      <c r="N7" s="679">
        <v>63</v>
      </c>
      <c r="O7" s="679">
        <v>0</v>
      </c>
      <c r="P7" s="679">
        <v>1</v>
      </c>
      <c r="Q7" s="679">
        <v>1</v>
      </c>
      <c r="R7" s="680">
        <f>(63/64)*100</f>
        <v>98.4375</v>
      </c>
      <c r="S7" s="680">
        <v>0</v>
      </c>
      <c r="T7" s="680">
        <f>(1/64)*100</f>
        <v>1.5625</v>
      </c>
      <c r="U7" s="680">
        <v>1.56</v>
      </c>
      <c r="W7" s="684" t="s">
        <v>46</v>
      </c>
      <c r="X7" s="679">
        <v>18</v>
      </c>
      <c r="Y7" s="679">
        <v>19</v>
      </c>
      <c r="Z7" s="679">
        <v>18</v>
      </c>
      <c r="AA7" s="679">
        <v>18</v>
      </c>
      <c r="AB7" s="679">
        <f t="shared" ref="AB7:AB9" si="0">SUM(X7,Y7,Z7,AA7)</f>
        <v>73</v>
      </c>
      <c r="AC7" s="680">
        <f>(X7+Y7+Z7+AA7)/(24+24+24+24)</f>
        <v>0.76041666666666663</v>
      </c>
    </row>
    <row r="8" spans="1:32" x14ac:dyDescent="0.2">
      <c r="A8" s="684" t="s">
        <v>97</v>
      </c>
      <c r="B8" s="692">
        <v>13</v>
      </c>
      <c r="C8" s="692">
        <v>2</v>
      </c>
      <c r="D8" s="692">
        <v>1</v>
      </c>
      <c r="E8" s="692">
        <v>15</v>
      </c>
      <c r="F8" s="692">
        <v>0</v>
      </c>
      <c r="G8" s="692">
        <v>1</v>
      </c>
      <c r="H8" s="692">
        <v>13</v>
      </c>
      <c r="I8" s="692">
        <v>1</v>
      </c>
      <c r="J8" s="692">
        <v>2</v>
      </c>
      <c r="K8" s="692">
        <v>13</v>
      </c>
      <c r="L8" s="692">
        <v>1</v>
      </c>
      <c r="M8" s="692">
        <v>2</v>
      </c>
      <c r="N8" s="679">
        <v>54</v>
      </c>
      <c r="O8" s="679">
        <v>4</v>
      </c>
      <c r="P8" s="679">
        <v>6</v>
      </c>
      <c r="Q8" s="679">
        <v>10</v>
      </c>
      <c r="R8" s="680">
        <f>(54/64)*100</f>
        <v>84.375</v>
      </c>
      <c r="S8" s="680">
        <v>6.25</v>
      </c>
      <c r="T8" s="680">
        <f>(6/64)*100</f>
        <v>9.375</v>
      </c>
      <c r="U8" s="680">
        <f>(10/64)*100</f>
        <v>15.625</v>
      </c>
      <c r="W8" s="684" t="s">
        <v>97</v>
      </c>
      <c r="X8" s="679">
        <v>24</v>
      </c>
      <c r="Y8" s="679">
        <v>31</v>
      </c>
      <c r="Z8" s="679">
        <v>32</v>
      </c>
      <c r="AA8" s="679">
        <v>33</v>
      </c>
      <c r="AB8" s="679">
        <f t="shared" si="0"/>
        <v>120</v>
      </c>
      <c r="AC8" s="680">
        <f>(X8+Y8+Z8+AA8)/(24+24+24+24)</f>
        <v>1.25</v>
      </c>
    </row>
    <row r="9" spans="1:32" x14ac:dyDescent="0.2">
      <c r="A9" s="684" t="s">
        <v>99</v>
      </c>
      <c r="W9" s="684" t="s">
        <v>99</v>
      </c>
      <c r="AB9" s="679">
        <f t="shared" si="0"/>
        <v>0</v>
      </c>
      <c r="AC9" s="680">
        <f>(X9+Y9+Z9+AA9)/(24+24+24+24)</f>
        <v>0</v>
      </c>
    </row>
    <row r="10" spans="1:32" x14ac:dyDescent="0.2">
      <c r="A10" s="684" t="s">
        <v>108</v>
      </c>
      <c r="B10" s="679">
        <v>16</v>
      </c>
      <c r="C10" s="679">
        <v>0</v>
      </c>
      <c r="D10" s="679">
        <v>0</v>
      </c>
      <c r="E10" s="679">
        <v>16</v>
      </c>
      <c r="F10" s="679">
        <v>0</v>
      </c>
      <c r="G10" s="679">
        <v>0</v>
      </c>
      <c r="H10" s="679">
        <v>16</v>
      </c>
      <c r="I10" s="679">
        <v>0</v>
      </c>
      <c r="J10" s="679">
        <v>0</v>
      </c>
      <c r="K10" s="679">
        <v>16</v>
      </c>
      <c r="L10" s="679">
        <v>0</v>
      </c>
      <c r="M10" s="679">
        <v>0</v>
      </c>
      <c r="N10" s="679">
        <v>64</v>
      </c>
      <c r="O10" s="679">
        <v>0</v>
      </c>
      <c r="P10" s="679">
        <v>0</v>
      </c>
      <c r="Q10" s="679">
        <v>0</v>
      </c>
      <c r="R10" s="680">
        <v>100</v>
      </c>
      <c r="S10" s="680">
        <v>0</v>
      </c>
      <c r="T10" s="680">
        <v>0</v>
      </c>
      <c r="U10" s="680">
        <v>0</v>
      </c>
      <c r="W10" s="684" t="s">
        <v>108</v>
      </c>
      <c r="X10" s="679">
        <v>15</v>
      </c>
      <c r="Y10" s="679">
        <v>17</v>
      </c>
      <c r="Z10" s="679">
        <v>17</v>
      </c>
      <c r="AA10" s="679">
        <v>16</v>
      </c>
      <c r="AB10" s="679">
        <f>SUM(X10:AA10)</f>
        <v>65</v>
      </c>
      <c r="AC10" s="680">
        <f t="shared" ref="AC10:AC40" si="1">AB10/(24*4)</f>
        <v>0.67708333333333337</v>
      </c>
    </row>
    <row r="11" spans="1:32" x14ac:dyDescent="0.2">
      <c r="A11" s="684" t="s">
        <v>109</v>
      </c>
      <c r="W11" s="684" t="s">
        <v>109</v>
      </c>
      <c r="X11" s="693"/>
      <c r="Y11" s="693"/>
      <c r="Z11" s="693"/>
      <c r="AA11" s="693"/>
      <c r="AB11" s="693"/>
      <c r="AC11" s="694">
        <f t="shared" si="1"/>
        <v>0</v>
      </c>
    </row>
    <row r="12" spans="1:32" x14ac:dyDescent="0.2">
      <c r="A12" s="684" t="s">
        <v>110</v>
      </c>
      <c r="B12" s="679">
        <v>15</v>
      </c>
      <c r="C12" s="679">
        <v>0</v>
      </c>
      <c r="D12" s="679">
        <v>1</v>
      </c>
      <c r="E12" s="679">
        <v>16</v>
      </c>
      <c r="F12" s="679">
        <v>0</v>
      </c>
      <c r="G12" s="679">
        <v>0</v>
      </c>
      <c r="H12" s="679">
        <v>16</v>
      </c>
      <c r="I12" s="679">
        <v>0</v>
      </c>
      <c r="J12" s="679">
        <v>0</v>
      </c>
      <c r="K12" s="679">
        <v>16</v>
      </c>
      <c r="L12" s="679">
        <v>0</v>
      </c>
      <c r="M12" s="679">
        <v>0</v>
      </c>
      <c r="N12" s="679">
        <v>63</v>
      </c>
      <c r="O12" s="679">
        <v>0</v>
      </c>
      <c r="P12" s="679">
        <v>1</v>
      </c>
      <c r="Q12" s="679">
        <v>1</v>
      </c>
      <c r="R12" s="680">
        <f>(63/64)*100</f>
        <v>98.4375</v>
      </c>
      <c r="S12" s="680">
        <v>0</v>
      </c>
      <c r="T12" s="680">
        <v>1.56</v>
      </c>
      <c r="U12" s="680">
        <v>1.56</v>
      </c>
      <c r="W12" s="684" t="s">
        <v>110</v>
      </c>
      <c r="X12" s="679">
        <v>12</v>
      </c>
      <c r="Y12" s="679">
        <v>20</v>
      </c>
      <c r="Z12" s="679">
        <v>23</v>
      </c>
      <c r="AA12" s="679">
        <v>20</v>
      </c>
      <c r="AB12" s="679">
        <f>SUM(X12:AA12)</f>
        <v>75</v>
      </c>
      <c r="AC12" s="680">
        <f t="shared" si="1"/>
        <v>0.78125</v>
      </c>
    </row>
    <row r="13" spans="1:32" x14ac:dyDescent="0.2">
      <c r="A13" s="684" t="s">
        <v>111</v>
      </c>
      <c r="B13" s="679">
        <v>16</v>
      </c>
      <c r="C13" s="679">
        <v>0</v>
      </c>
      <c r="D13" s="679">
        <v>0</v>
      </c>
      <c r="E13" s="679">
        <v>16</v>
      </c>
      <c r="F13" s="679">
        <v>0</v>
      </c>
      <c r="G13" s="679">
        <v>0</v>
      </c>
      <c r="H13" s="679">
        <v>16</v>
      </c>
      <c r="I13" s="679">
        <v>0</v>
      </c>
      <c r="J13" s="679">
        <v>0</v>
      </c>
      <c r="K13" s="679">
        <v>16</v>
      </c>
      <c r="L13" s="679">
        <v>0</v>
      </c>
      <c r="M13" s="679">
        <v>0</v>
      </c>
      <c r="N13" s="679">
        <v>64</v>
      </c>
      <c r="O13" s="679">
        <v>0</v>
      </c>
      <c r="P13" s="679">
        <v>0</v>
      </c>
      <c r="Q13" s="679">
        <v>0</v>
      </c>
      <c r="R13" s="680">
        <v>100</v>
      </c>
      <c r="S13" s="680">
        <v>0</v>
      </c>
      <c r="T13" s="680">
        <v>0</v>
      </c>
      <c r="U13" s="680">
        <v>0</v>
      </c>
      <c r="W13" s="684" t="s">
        <v>111</v>
      </c>
      <c r="X13" s="679">
        <v>18</v>
      </c>
      <c r="Y13" s="679">
        <v>19</v>
      </c>
      <c r="Z13" s="679">
        <v>20</v>
      </c>
      <c r="AA13" s="679">
        <v>20</v>
      </c>
      <c r="AB13" s="679">
        <f>SUM(X13:AA13)</f>
        <v>77</v>
      </c>
      <c r="AC13" s="680">
        <f t="shared" si="1"/>
        <v>0.80208333333333337</v>
      </c>
    </row>
    <row r="14" spans="1:32" x14ac:dyDescent="0.2">
      <c r="A14" s="684" t="s">
        <v>112</v>
      </c>
      <c r="B14" s="679">
        <v>15</v>
      </c>
      <c r="C14" s="679">
        <v>1</v>
      </c>
      <c r="D14" s="679">
        <v>0</v>
      </c>
      <c r="E14" s="679">
        <v>15</v>
      </c>
      <c r="F14" s="679">
        <v>1</v>
      </c>
      <c r="G14" s="679">
        <v>0</v>
      </c>
      <c r="H14" s="679">
        <v>16</v>
      </c>
      <c r="I14" s="679">
        <v>0</v>
      </c>
      <c r="J14" s="679">
        <v>0</v>
      </c>
      <c r="K14" s="679">
        <v>16</v>
      </c>
      <c r="L14" s="679">
        <v>0</v>
      </c>
      <c r="M14" s="679">
        <v>0</v>
      </c>
      <c r="N14" s="679">
        <v>62</v>
      </c>
      <c r="O14" s="679">
        <v>2</v>
      </c>
      <c r="P14" s="679">
        <v>0</v>
      </c>
      <c r="Q14" s="679">
        <v>2</v>
      </c>
      <c r="R14" s="680">
        <f>(62/64)*100</f>
        <v>96.875</v>
      </c>
      <c r="S14" s="680">
        <f>(2/64)*100</f>
        <v>3.125</v>
      </c>
      <c r="T14" s="680">
        <v>0</v>
      </c>
      <c r="U14" s="680">
        <v>3.13</v>
      </c>
      <c r="W14" s="684" t="s">
        <v>112</v>
      </c>
      <c r="X14" s="679">
        <v>20</v>
      </c>
      <c r="Y14" s="679">
        <v>21</v>
      </c>
      <c r="Z14" s="679">
        <v>19</v>
      </c>
      <c r="AA14" s="679">
        <v>20</v>
      </c>
      <c r="AB14" s="679">
        <f>SUM(X14:AA14)</f>
        <v>80</v>
      </c>
      <c r="AC14" s="680">
        <f t="shared" si="1"/>
        <v>0.83333333333333337</v>
      </c>
    </row>
    <row r="15" spans="1:32" x14ac:dyDescent="0.2">
      <c r="A15" s="684" t="s">
        <v>113</v>
      </c>
      <c r="B15" s="679">
        <v>15</v>
      </c>
      <c r="C15" s="679">
        <v>1</v>
      </c>
      <c r="D15" s="679">
        <v>0</v>
      </c>
      <c r="E15" s="679">
        <v>16</v>
      </c>
      <c r="F15" s="679">
        <v>0</v>
      </c>
      <c r="G15" s="679">
        <v>0</v>
      </c>
      <c r="H15" s="679">
        <v>16</v>
      </c>
      <c r="I15" s="679">
        <v>0</v>
      </c>
      <c r="J15" s="679">
        <v>0</v>
      </c>
      <c r="K15" s="679">
        <v>16</v>
      </c>
      <c r="L15" s="679">
        <v>0</v>
      </c>
      <c r="M15" s="679">
        <v>0</v>
      </c>
      <c r="N15" s="679">
        <v>63</v>
      </c>
      <c r="O15" s="679">
        <v>1</v>
      </c>
      <c r="P15" s="679">
        <v>0</v>
      </c>
      <c r="Q15" s="679">
        <v>1</v>
      </c>
      <c r="R15" s="680">
        <v>98.44</v>
      </c>
      <c r="S15" s="680">
        <v>1.56</v>
      </c>
      <c r="T15" s="680">
        <v>0</v>
      </c>
      <c r="U15" s="680">
        <v>1.56</v>
      </c>
      <c r="W15" s="684" t="s">
        <v>113</v>
      </c>
      <c r="X15" s="679">
        <v>30</v>
      </c>
      <c r="Y15" s="679">
        <v>23</v>
      </c>
      <c r="Z15" s="679">
        <v>21</v>
      </c>
      <c r="AA15" s="679">
        <v>22</v>
      </c>
      <c r="AB15" s="679">
        <f>SUM(X15:AA15)</f>
        <v>96</v>
      </c>
      <c r="AC15" s="680">
        <f t="shared" si="1"/>
        <v>1</v>
      </c>
      <c r="AD15" s="679" t="s">
        <v>841</v>
      </c>
    </row>
    <row r="16" spans="1:32" x14ac:dyDescent="0.2">
      <c r="A16" s="684" t="s">
        <v>114</v>
      </c>
      <c r="B16" s="679">
        <v>16</v>
      </c>
      <c r="C16" s="679">
        <v>0</v>
      </c>
      <c r="D16" s="679">
        <v>0</v>
      </c>
      <c r="E16" s="679">
        <v>16</v>
      </c>
      <c r="F16" s="679">
        <v>0</v>
      </c>
      <c r="G16" s="679">
        <v>0</v>
      </c>
      <c r="H16" s="679">
        <v>16</v>
      </c>
      <c r="I16" s="679">
        <v>0</v>
      </c>
      <c r="J16" s="679">
        <v>0</v>
      </c>
      <c r="K16" s="692">
        <v>16</v>
      </c>
      <c r="L16" s="692">
        <v>0</v>
      </c>
      <c r="M16" s="679">
        <v>0</v>
      </c>
      <c r="N16" s="679">
        <v>64</v>
      </c>
      <c r="O16" s="679">
        <v>0</v>
      </c>
      <c r="P16" s="679">
        <v>0</v>
      </c>
      <c r="Q16" s="679">
        <v>0</v>
      </c>
      <c r="R16" s="680">
        <v>100</v>
      </c>
      <c r="S16" s="680">
        <v>0</v>
      </c>
      <c r="T16" s="680">
        <v>0</v>
      </c>
      <c r="U16" s="680">
        <v>0</v>
      </c>
      <c r="W16" s="684" t="s">
        <v>114</v>
      </c>
      <c r="X16" s="695">
        <v>17</v>
      </c>
      <c r="Y16" s="695">
        <v>16</v>
      </c>
      <c r="Z16" s="695">
        <v>15</v>
      </c>
      <c r="AA16" s="695">
        <v>15</v>
      </c>
      <c r="AB16" s="695">
        <f>SUM(X16:AA16)</f>
        <v>63</v>
      </c>
      <c r="AC16" s="696">
        <f t="shared" si="1"/>
        <v>0.65625</v>
      </c>
    </row>
    <row r="17" spans="1:30" x14ac:dyDescent="0.2">
      <c r="A17" s="684" t="s">
        <v>115</v>
      </c>
      <c r="B17" s="679">
        <v>16</v>
      </c>
      <c r="C17" s="679">
        <v>0</v>
      </c>
      <c r="D17" s="679">
        <v>0</v>
      </c>
      <c r="E17" s="679">
        <v>16</v>
      </c>
      <c r="F17" s="679">
        <v>0</v>
      </c>
      <c r="G17" s="679">
        <v>0</v>
      </c>
      <c r="H17" s="679">
        <v>15</v>
      </c>
      <c r="I17" s="679">
        <v>1</v>
      </c>
      <c r="J17" s="679">
        <v>0</v>
      </c>
      <c r="K17" s="679">
        <v>16</v>
      </c>
      <c r="L17" s="679">
        <v>0</v>
      </c>
      <c r="M17" s="679">
        <v>0</v>
      </c>
      <c r="N17" s="679">
        <v>63</v>
      </c>
      <c r="O17" s="679">
        <v>1</v>
      </c>
      <c r="P17" s="679">
        <v>0</v>
      </c>
      <c r="Q17" s="679">
        <v>1</v>
      </c>
      <c r="R17" s="680">
        <v>98.44</v>
      </c>
      <c r="S17" s="680">
        <v>1.56</v>
      </c>
      <c r="T17" s="680">
        <v>0</v>
      </c>
      <c r="U17" s="680">
        <v>1.56</v>
      </c>
      <c r="W17" s="684" t="s">
        <v>115</v>
      </c>
      <c r="X17" s="679">
        <v>14</v>
      </c>
      <c r="Y17" s="679">
        <v>12</v>
      </c>
      <c r="Z17" s="679">
        <v>13</v>
      </c>
      <c r="AA17" s="679">
        <v>13</v>
      </c>
      <c r="AB17" s="679">
        <f t="shared" ref="AB17:AB40" si="2">SUM(X17:AA17)</f>
        <v>52</v>
      </c>
      <c r="AC17" s="680">
        <f t="shared" si="1"/>
        <v>0.54166666666666663</v>
      </c>
    </row>
    <row r="18" spans="1:30" x14ac:dyDescent="0.2">
      <c r="A18" s="684" t="s">
        <v>116</v>
      </c>
      <c r="B18" s="679">
        <v>16</v>
      </c>
      <c r="C18" s="679">
        <v>0</v>
      </c>
      <c r="D18" s="679">
        <v>0</v>
      </c>
      <c r="E18" s="679">
        <v>16</v>
      </c>
      <c r="F18" s="679">
        <v>0</v>
      </c>
      <c r="G18" s="679">
        <v>0</v>
      </c>
      <c r="H18" s="679">
        <v>16</v>
      </c>
      <c r="I18" s="679">
        <v>0</v>
      </c>
      <c r="J18" s="679">
        <v>0</v>
      </c>
      <c r="K18" s="679">
        <v>16</v>
      </c>
      <c r="L18" s="679">
        <v>0</v>
      </c>
      <c r="M18" s="679">
        <v>0</v>
      </c>
      <c r="N18" s="679">
        <v>64</v>
      </c>
      <c r="O18" s="679">
        <v>0</v>
      </c>
      <c r="P18" s="679">
        <v>0</v>
      </c>
      <c r="Q18" s="679">
        <v>0</v>
      </c>
      <c r="R18" s="680">
        <v>100</v>
      </c>
      <c r="S18" s="680">
        <v>0</v>
      </c>
      <c r="T18" s="680">
        <v>0</v>
      </c>
      <c r="U18" s="680">
        <v>0</v>
      </c>
      <c r="W18" s="684" t="s">
        <v>116</v>
      </c>
      <c r="X18" s="679">
        <v>24</v>
      </c>
      <c r="Y18" s="679">
        <v>21</v>
      </c>
      <c r="Z18" s="679">
        <v>22</v>
      </c>
      <c r="AA18" s="679">
        <v>23</v>
      </c>
      <c r="AB18" s="679">
        <f t="shared" si="2"/>
        <v>90</v>
      </c>
      <c r="AC18" s="680">
        <f t="shared" si="1"/>
        <v>0.9375</v>
      </c>
    </row>
    <row r="19" spans="1:30" x14ac:dyDescent="0.2">
      <c r="A19" s="684" t="s">
        <v>117</v>
      </c>
      <c r="B19" s="679">
        <v>16</v>
      </c>
      <c r="C19" s="679">
        <v>0</v>
      </c>
      <c r="D19" s="679">
        <v>0</v>
      </c>
      <c r="E19" s="679">
        <v>16</v>
      </c>
      <c r="F19" s="679">
        <v>0</v>
      </c>
      <c r="G19" s="679">
        <v>0</v>
      </c>
      <c r="H19" s="679">
        <v>16</v>
      </c>
      <c r="I19" s="679">
        <v>0</v>
      </c>
      <c r="J19" s="679">
        <v>0</v>
      </c>
      <c r="K19" s="679">
        <v>16</v>
      </c>
      <c r="L19" s="679">
        <v>0</v>
      </c>
      <c r="M19" s="679">
        <v>0</v>
      </c>
      <c r="N19" s="679">
        <v>64</v>
      </c>
      <c r="O19" s="679">
        <v>0</v>
      </c>
      <c r="P19" s="679">
        <v>0</v>
      </c>
      <c r="Q19" s="679">
        <v>0</v>
      </c>
      <c r="R19" s="680">
        <v>100</v>
      </c>
      <c r="S19" s="680">
        <v>0</v>
      </c>
      <c r="T19" s="680">
        <v>0</v>
      </c>
      <c r="U19" s="680">
        <v>0</v>
      </c>
      <c r="W19" s="684" t="s">
        <v>117</v>
      </c>
      <c r="X19" s="679">
        <v>19</v>
      </c>
      <c r="Y19" s="679">
        <v>18</v>
      </c>
      <c r="Z19" s="679">
        <v>18</v>
      </c>
      <c r="AA19" s="679">
        <v>19</v>
      </c>
      <c r="AB19" s="695">
        <f t="shared" si="2"/>
        <v>74</v>
      </c>
      <c r="AC19" s="696">
        <f t="shared" si="1"/>
        <v>0.77083333333333337</v>
      </c>
    </row>
    <row r="20" spans="1:30" x14ac:dyDescent="0.2">
      <c r="A20" s="684" t="s">
        <v>171</v>
      </c>
      <c r="W20" s="684" t="s">
        <v>171</v>
      </c>
      <c r="AB20" s="695">
        <f t="shared" si="2"/>
        <v>0</v>
      </c>
      <c r="AC20" s="696">
        <f t="shared" si="1"/>
        <v>0</v>
      </c>
    </row>
    <row r="21" spans="1:30" x14ac:dyDescent="0.2">
      <c r="A21" s="684" t="s">
        <v>172</v>
      </c>
      <c r="B21" s="679">
        <v>15</v>
      </c>
      <c r="C21" s="679">
        <v>1</v>
      </c>
      <c r="D21" s="679">
        <v>0</v>
      </c>
      <c r="E21" s="679">
        <v>16</v>
      </c>
      <c r="F21" s="679">
        <v>0</v>
      </c>
      <c r="G21" s="679">
        <v>0</v>
      </c>
      <c r="H21" s="679">
        <v>16</v>
      </c>
      <c r="I21" s="679">
        <v>0</v>
      </c>
      <c r="J21" s="679">
        <v>0</v>
      </c>
      <c r="K21" s="679">
        <v>15</v>
      </c>
      <c r="L21" s="679">
        <v>0</v>
      </c>
      <c r="M21" s="679">
        <v>1</v>
      </c>
      <c r="N21" s="679">
        <v>62</v>
      </c>
      <c r="O21" s="679">
        <v>1</v>
      </c>
      <c r="P21" s="679">
        <v>1</v>
      </c>
      <c r="Q21" s="679">
        <v>2</v>
      </c>
      <c r="R21" s="680">
        <v>96.88</v>
      </c>
      <c r="S21" s="680">
        <v>1.56</v>
      </c>
      <c r="T21" s="680">
        <v>1.56</v>
      </c>
      <c r="U21" s="680">
        <v>3.13</v>
      </c>
      <c r="W21" s="684" t="s">
        <v>172</v>
      </c>
      <c r="X21" s="679">
        <v>13</v>
      </c>
      <c r="Y21" s="679">
        <v>13</v>
      </c>
      <c r="Z21" s="679">
        <v>12</v>
      </c>
      <c r="AA21" s="679">
        <v>12</v>
      </c>
      <c r="AB21" s="695">
        <f t="shared" si="2"/>
        <v>50</v>
      </c>
      <c r="AC21" s="696">
        <f t="shared" si="1"/>
        <v>0.52083333333333337</v>
      </c>
    </row>
    <row r="22" spans="1:30" x14ac:dyDescent="0.2">
      <c r="A22" s="684" t="s">
        <v>173</v>
      </c>
      <c r="B22" s="679">
        <v>15</v>
      </c>
      <c r="C22" s="679">
        <v>0</v>
      </c>
      <c r="D22" s="679">
        <v>1</v>
      </c>
      <c r="E22" s="679">
        <v>16</v>
      </c>
      <c r="F22" s="679">
        <v>0</v>
      </c>
      <c r="G22" s="679">
        <v>0</v>
      </c>
      <c r="H22" s="679">
        <v>15</v>
      </c>
      <c r="I22" s="679">
        <v>1</v>
      </c>
      <c r="J22" s="679">
        <v>0</v>
      </c>
      <c r="K22" s="679">
        <v>16</v>
      </c>
      <c r="L22" s="679">
        <v>0</v>
      </c>
      <c r="M22" s="679">
        <v>0</v>
      </c>
      <c r="N22" s="679">
        <v>62</v>
      </c>
      <c r="O22" s="679">
        <v>1</v>
      </c>
      <c r="P22" s="679">
        <v>1</v>
      </c>
      <c r="Q22" s="679">
        <v>2</v>
      </c>
      <c r="R22" s="680">
        <v>96.88</v>
      </c>
      <c r="S22" s="680">
        <v>1.56</v>
      </c>
      <c r="T22" s="680">
        <v>1.56</v>
      </c>
      <c r="U22" s="680">
        <v>3.13</v>
      </c>
      <c r="W22" s="684" t="s">
        <v>173</v>
      </c>
      <c r="AB22" s="695">
        <f t="shared" si="2"/>
        <v>0</v>
      </c>
      <c r="AC22" s="694">
        <f t="shared" si="1"/>
        <v>0</v>
      </c>
      <c r="AD22" s="679" t="s">
        <v>246</v>
      </c>
    </row>
    <row r="23" spans="1:30" x14ac:dyDescent="0.2">
      <c r="A23" s="684" t="s">
        <v>199</v>
      </c>
      <c r="B23" s="679">
        <v>16</v>
      </c>
      <c r="C23" s="679">
        <v>0</v>
      </c>
      <c r="D23" s="679">
        <v>0</v>
      </c>
      <c r="E23" s="679">
        <v>16</v>
      </c>
      <c r="F23" s="679">
        <v>0</v>
      </c>
      <c r="G23" s="679">
        <v>0</v>
      </c>
      <c r="H23" s="679">
        <v>16</v>
      </c>
      <c r="I23" s="679">
        <v>0</v>
      </c>
      <c r="J23" s="679">
        <v>0</v>
      </c>
      <c r="K23" s="679">
        <v>15</v>
      </c>
      <c r="L23" s="679">
        <v>0</v>
      </c>
      <c r="M23" s="679">
        <v>1</v>
      </c>
      <c r="N23" s="679">
        <v>63</v>
      </c>
      <c r="O23" s="679">
        <v>0</v>
      </c>
      <c r="P23" s="679">
        <v>1</v>
      </c>
      <c r="Q23" s="679">
        <v>1</v>
      </c>
      <c r="R23" s="680">
        <v>98.44</v>
      </c>
      <c r="S23" s="680">
        <v>0</v>
      </c>
      <c r="T23" s="680">
        <v>1.56</v>
      </c>
      <c r="U23" s="680">
        <v>1.56</v>
      </c>
      <c r="W23" s="684" t="s">
        <v>199</v>
      </c>
      <c r="X23" s="679">
        <v>18</v>
      </c>
      <c r="Y23" s="679">
        <v>17</v>
      </c>
      <c r="Z23" s="679">
        <v>17</v>
      </c>
      <c r="AA23" s="679">
        <v>18</v>
      </c>
      <c r="AB23" s="695">
        <f t="shared" si="2"/>
        <v>70</v>
      </c>
      <c r="AC23" s="696">
        <f t="shared" si="1"/>
        <v>0.72916666666666663</v>
      </c>
    </row>
    <row r="24" spans="1:30" x14ac:dyDescent="0.2">
      <c r="A24" s="684" t="s">
        <v>200</v>
      </c>
      <c r="B24" s="679">
        <v>16</v>
      </c>
      <c r="C24" s="679">
        <v>0</v>
      </c>
      <c r="D24" s="679">
        <v>0</v>
      </c>
      <c r="E24" s="679">
        <v>16</v>
      </c>
      <c r="F24" s="679">
        <v>0</v>
      </c>
      <c r="G24" s="679">
        <v>0</v>
      </c>
      <c r="H24" s="679">
        <v>16</v>
      </c>
      <c r="I24" s="679">
        <v>0</v>
      </c>
      <c r="J24" s="679">
        <v>0</v>
      </c>
      <c r="K24" s="679">
        <v>14</v>
      </c>
      <c r="L24" s="679">
        <v>1</v>
      </c>
      <c r="M24" s="679">
        <v>1</v>
      </c>
      <c r="N24" s="679">
        <f>SUM(B24,E24,H24,K24)</f>
        <v>62</v>
      </c>
      <c r="O24" s="679">
        <v>1</v>
      </c>
      <c r="P24" s="679">
        <v>1</v>
      </c>
      <c r="Q24" s="679">
        <v>2</v>
      </c>
      <c r="R24" s="680">
        <f>(62/64)*100</f>
        <v>96.875</v>
      </c>
      <c r="S24" s="680">
        <v>1.56</v>
      </c>
      <c r="T24" s="680">
        <v>1.56</v>
      </c>
      <c r="U24" s="680">
        <v>3.13</v>
      </c>
      <c r="W24" s="684" t="s">
        <v>200</v>
      </c>
      <c r="X24" s="679">
        <v>24</v>
      </c>
      <c r="Y24" s="679">
        <v>30</v>
      </c>
      <c r="Z24" s="679">
        <v>25</v>
      </c>
      <c r="AA24" s="679">
        <v>23</v>
      </c>
      <c r="AB24" s="679">
        <f t="shared" si="2"/>
        <v>102</v>
      </c>
      <c r="AC24" s="680">
        <f t="shared" si="1"/>
        <v>1.0625</v>
      </c>
    </row>
    <row r="25" spans="1:30" x14ac:dyDescent="0.2">
      <c r="A25" s="684" t="s">
        <v>201</v>
      </c>
      <c r="B25" s="679">
        <v>16</v>
      </c>
      <c r="C25" s="679">
        <v>0</v>
      </c>
      <c r="D25" s="679">
        <v>0</v>
      </c>
      <c r="E25" s="679">
        <v>16</v>
      </c>
      <c r="F25" s="679">
        <v>0</v>
      </c>
      <c r="G25" s="679">
        <v>0</v>
      </c>
      <c r="H25" s="679">
        <v>16</v>
      </c>
      <c r="I25" s="679">
        <v>0</v>
      </c>
      <c r="J25" s="679">
        <v>0</v>
      </c>
      <c r="K25" s="679">
        <v>16</v>
      </c>
      <c r="L25" s="679">
        <v>0</v>
      </c>
      <c r="M25" s="679">
        <v>0</v>
      </c>
      <c r="N25" s="679">
        <v>64</v>
      </c>
      <c r="O25" s="679">
        <v>0</v>
      </c>
      <c r="P25" s="679">
        <v>0</v>
      </c>
      <c r="Q25" s="679">
        <v>0</v>
      </c>
      <c r="R25" s="680">
        <v>100</v>
      </c>
      <c r="S25" s="680">
        <v>0</v>
      </c>
      <c r="T25" s="680">
        <v>0</v>
      </c>
      <c r="U25" s="680">
        <v>0</v>
      </c>
      <c r="W25" s="684" t="s">
        <v>201</v>
      </c>
      <c r="X25" s="679">
        <v>17</v>
      </c>
      <c r="Y25" s="679">
        <v>14</v>
      </c>
      <c r="Z25" s="679">
        <v>14</v>
      </c>
      <c r="AA25" s="679">
        <v>14</v>
      </c>
      <c r="AB25" s="695">
        <f t="shared" si="2"/>
        <v>59</v>
      </c>
      <c r="AC25" s="696">
        <f t="shared" si="1"/>
        <v>0.61458333333333337</v>
      </c>
    </row>
    <row r="26" spans="1:30" x14ac:dyDescent="0.2">
      <c r="A26" s="684" t="s">
        <v>202</v>
      </c>
      <c r="B26" s="679">
        <v>15</v>
      </c>
      <c r="C26" s="679">
        <v>1</v>
      </c>
      <c r="D26" s="679">
        <v>0</v>
      </c>
      <c r="E26" s="679">
        <v>13</v>
      </c>
      <c r="F26" s="679">
        <v>3</v>
      </c>
      <c r="G26" s="679">
        <v>0</v>
      </c>
      <c r="H26" s="679">
        <v>14</v>
      </c>
      <c r="I26" s="679">
        <v>0</v>
      </c>
      <c r="J26" s="679">
        <v>2</v>
      </c>
      <c r="K26" s="679">
        <v>15</v>
      </c>
      <c r="L26" s="679">
        <v>0</v>
      </c>
      <c r="M26" s="679">
        <v>1</v>
      </c>
      <c r="N26" s="679">
        <v>57</v>
      </c>
      <c r="O26" s="679">
        <v>4</v>
      </c>
      <c r="P26" s="679">
        <v>3</v>
      </c>
      <c r="Q26" s="679">
        <v>7</v>
      </c>
      <c r="R26" s="680">
        <f>(57/64)*100</f>
        <v>89.0625</v>
      </c>
      <c r="S26" s="680">
        <f>(4/64)*100</f>
        <v>6.25</v>
      </c>
      <c r="T26" s="680">
        <f>(3/64)*100</f>
        <v>4.6875</v>
      </c>
      <c r="U26" s="680">
        <f>(7/64)*100</f>
        <v>10.9375</v>
      </c>
      <c r="W26" s="684" t="s">
        <v>202</v>
      </c>
      <c r="X26" s="679">
        <v>22</v>
      </c>
      <c r="Y26" s="679">
        <v>24</v>
      </c>
      <c r="Z26" s="679">
        <v>23</v>
      </c>
      <c r="AA26" s="679">
        <v>26</v>
      </c>
      <c r="AB26" s="695">
        <f t="shared" si="2"/>
        <v>95</v>
      </c>
      <c r="AC26" s="696">
        <f t="shared" si="1"/>
        <v>0.98958333333333337</v>
      </c>
    </row>
    <row r="27" spans="1:30" x14ac:dyDescent="0.2">
      <c r="A27" s="684" t="s">
        <v>203</v>
      </c>
      <c r="B27" s="679">
        <v>15</v>
      </c>
      <c r="C27" s="679">
        <v>0</v>
      </c>
      <c r="D27" s="679">
        <v>1</v>
      </c>
      <c r="E27" s="679">
        <v>16</v>
      </c>
      <c r="F27" s="679">
        <v>0</v>
      </c>
      <c r="G27" s="679">
        <v>0</v>
      </c>
      <c r="H27" s="679">
        <v>14</v>
      </c>
      <c r="I27" s="679">
        <v>0</v>
      </c>
      <c r="J27" s="679">
        <v>2</v>
      </c>
      <c r="K27" s="679">
        <v>16</v>
      </c>
      <c r="L27" s="679">
        <v>0</v>
      </c>
      <c r="M27" s="679">
        <v>0</v>
      </c>
      <c r="N27" s="679">
        <v>60</v>
      </c>
      <c r="O27" s="679">
        <v>0</v>
      </c>
      <c r="P27" s="679">
        <v>4</v>
      </c>
      <c r="Q27" s="679">
        <v>4</v>
      </c>
      <c r="R27" s="680">
        <f>(60/64)*100</f>
        <v>93.75</v>
      </c>
      <c r="S27" s="680">
        <v>0</v>
      </c>
      <c r="T27" s="680">
        <f>(4/60)*100</f>
        <v>6.666666666666667</v>
      </c>
      <c r="U27" s="680">
        <f>(4/60)*100</f>
        <v>6.666666666666667</v>
      </c>
      <c r="W27" s="684" t="s">
        <v>203</v>
      </c>
      <c r="X27" s="679">
        <v>13</v>
      </c>
      <c r="Y27" s="679">
        <v>11</v>
      </c>
      <c r="Z27" s="679">
        <v>12</v>
      </c>
      <c r="AA27" s="679">
        <v>12</v>
      </c>
      <c r="AB27" s="695">
        <f t="shared" si="2"/>
        <v>48</v>
      </c>
      <c r="AC27" s="696">
        <f t="shared" si="1"/>
        <v>0.5</v>
      </c>
    </row>
    <row r="28" spans="1:30" x14ac:dyDescent="0.2">
      <c r="A28" s="684" t="s">
        <v>204</v>
      </c>
      <c r="W28" s="684" t="s">
        <v>204</v>
      </c>
      <c r="AB28" s="695">
        <f t="shared" si="2"/>
        <v>0</v>
      </c>
      <c r="AC28" s="696">
        <f t="shared" si="1"/>
        <v>0</v>
      </c>
      <c r="AD28" s="679" t="s">
        <v>839</v>
      </c>
    </row>
    <row r="29" spans="1:30" x14ac:dyDescent="0.2">
      <c r="A29" s="684" t="s">
        <v>205</v>
      </c>
      <c r="B29" s="679">
        <v>16</v>
      </c>
      <c r="C29" s="679">
        <v>0</v>
      </c>
      <c r="D29" s="679">
        <v>0</v>
      </c>
      <c r="E29" s="679">
        <v>16</v>
      </c>
      <c r="F29" s="679">
        <v>0</v>
      </c>
      <c r="G29" s="679">
        <v>0</v>
      </c>
      <c r="H29" s="679">
        <v>16</v>
      </c>
      <c r="I29" s="679">
        <v>0</v>
      </c>
      <c r="J29" s="679">
        <v>0</v>
      </c>
      <c r="K29" s="679">
        <v>16</v>
      </c>
      <c r="L29" s="679">
        <v>0</v>
      </c>
      <c r="M29" s="679">
        <v>0</v>
      </c>
      <c r="N29" s="679">
        <v>64</v>
      </c>
      <c r="O29" s="679">
        <v>0</v>
      </c>
      <c r="P29" s="679">
        <v>0</v>
      </c>
      <c r="Q29" s="679">
        <v>0</v>
      </c>
      <c r="R29" s="680">
        <v>100</v>
      </c>
      <c r="S29" s="680">
        <v>0</v>
      </c>
      <c r="T29" s="680">
        <v>0</v>
      </c>
      <c r="U29" s="680">
        <v>0</v>
      </c>
      <c r="W29" s="684" t="s">
        <v>205</v>
      </c>
      <c r="X29" s="679">
        <v>15</v>
      </c>
      <c r="Y29" s="679">
        <v>21</v>
      </c>
      <c r="Z29" s="679">
        <v>22</v>
      </c>
      <c r="AA29" s="679">
        <v>22</v>
      </c>
      <c r="AB29" s="695">
        <f t="shared" si="2"/>
        <v>80</v>
      </c>
      <c r="AC29" s="696">
        <f t="shared" si="1"/>
        <v>0.83333333333333337</v>
      </c>
    </row>
    <row r="30" spans="1:30" x14ac:dyDescent="0.2">
      <c r="A30" s="684" t="s">
        <v>206</v>
      </c>
      <c r="B30" s="679">
        <v>16</v>
      </c>
      <c r="C30" s="679">
        <v>0</v>
      </c>
      <c r="D30" s="679">
        <v>0</v>
      </c>
      <c r="E30" s="679">
        <v>16</v>
      </c>
      <c r="F30" s="679">
        <v>0</v>
      </c>
      <c r="G30" s="679">
        <v>0</v>
      </c>
      <c r="H30" s="679">
        <v>15</v>
      </c>
      <c r="I30" s="679">
        <v>0</v>
      </c>
      <c r="J30" s="679">
        <v>1</v>
      </c>
      <c r="K30" s="679">
        <v>15</v>
      </c>
      <c r="L30" s="679">
        <v>0</v>
      </c>
      <c r="M30" s="679">
        <v>1</v>
      </c>
      <c r="N30" s="679">
        <v>62</v>
      </c>
      <c r="O30" s="679">
        <v>0</v>
      </c>
      <c r="P30" s="679">
        <v>2</v>
      </c>
      <c r="Q30" s="679">
        <v>2</v>
      </c>
      <c r="R30" s="680">
        <f>(62/64)*100</f>
        <v>96.875</v>
      </c>
      <c r="S30" s="680">
        <v>0</v>
      </c>
      <c r="T30" s="680">
        <f>(2/64)*100</f>
        <v>3.125</v>
      </c>
      <c r="U30" s="680">
        <f>(2/64)*100</f>
        <v>3.125</v>
      </c>
      <c r="W30" s="684" t="s">
        <v>206</v>
      </c>
      <c r="X30" s="679">
        <v>14</v>
      </c>
      <c r="Y30" s="679">
        <v>14</v>
      </c>
      <c r="Z30" s="679">
        <v>14</v>
      </c>
      <c r="AA30" s="679">
        <v>13</v>
      </c>
      <c r="AB30" s="679">
        <f t="shared" si="2"/>
        <v>55</v>
      </c>
      <c r="AC30" s="680">
        <f t="shared" si="1"/>
        <v>0.57291666666666663</v>
      </c>
    </row>
    <row r="31" spans="1:30" x14ac:dyDescent="0.2">
      <c r="A31" s="684" t="s">
        <v>207</v>
      </c>
      <c r="B31" s="679">
        <v>16</v>
      </c>
      <c r="C31" s="679">
        <v>0</v>
      </c>
      <c r="D31" s="679">
        <v>0</v>
      </c>
      <c r="E31" s="679">
        <v>7</v>
      </c>
      <c r="F31" s="679">
        <v>0</v>
      </c>
      <c r="G31" s="679">
        <v>9</v>
      </c>
      <c r="H31" s="679">
        <v>10</v>
      </c>
      <c r="I31" s="679">
        <v>0</v>
      </c>
      <c r="J31" s="679">
        <v>6</v>
      </c>
      <c r="K31" s="679">
        <v>10</v>
      </c>
      <c r="L31" s="679">
        <v>1</v>
      </c>
      <c r="M31" s="679">
        <v>5</v>
      </c>
      <c r="N31" s="679">
        <v>43</v>
      </c>
      <c r="O31" s="679">
        <v>1</v>
      </c>
      <c r="P31" s="679">
        <v>20</v>
      </c>
      <c r="Q31" s="679">
        <v>21</v>
      </c>
      <c r="R31" s="680">
        <f>(43/64)*100</f>
        <v>67.1875</v>
      </c>
      <c r="S31" s="680">
        <f>(1/64)*100</f>
        <v>1.5625</v>
      </c>
      <c r="T31" s="680">
        <f>(20/64)*100</f>
        <v>31.25</v>
      </c>
      <c r="U31" s="680">
        <f>(21/64)*100</f>
        <v>32.8125</v>
      </c>
      <c r="W31" s="684" t="s">
        <v>207</v>
      </c>
      <c r="X31" s="679">
        <v>18</v>
      </c>
      <c r="Y31" s="679">
        <v>16</v>
      </c>
      <c r="Z31" s="679">
        <v>16</v>
      </c>
      <c r="AA31" s="679">
        <v>17</v>
      </c>
      <c r="AB31" s="695">
        <f t="shared" si="2"/>
        <v>67</v>
      </c>
      <c r="AC31" s="696">
        <f t="shared" si="1"/>
        <v>0.69791666666666663</v>
      </c>
    </row>
    <row r="32" spans="1:30" x14ac:dyDescent="0.2">
      <c r="A32" s="684" t="s">
        <v>210</v>
      </c>
      <c r="E32" s="679">
        <v>8</v>
      </c>
      <c r="F32" s="679">
        <v>4</v>
      </c>
      <c r="G32" s="679">
        <v>4</v>
      </c>
      <c r="H32" s="679">
        <v>9</v>
      </c>
      <c r="I32" s="679">
        <v>4</v>
      </c>
      <c r="J32" s="679">
        <v>3</v>
      </c>
      <c r="K32" s="679">
        <v>9</v>
      </c>
      <c r="L32" s="679">
        <v>5</v>
      </c>
      <c r="M32" s="679">
        <v>2</v>
      </c>
      <c r="N32" s="679">
        <v>26</v>
      </c>
      <c r="O32" s="679">
        <v>13</v>
      </c>
      <c r="P32" s="679">
        <v>9</v>
      </c>
      <c r="Q32" s="679">
        <v>22</v>
      </c>
      <c r="W32" s="684" t="s">
        <v>210</v>
      </c>
      <c r="X32" s="679">
        <v>16</v>
      </c>
      <c r="Y32" s="679">
        <v>18</v>
      </c>
      <c r="Z32" s="679">
        <v>18</v>
      </c>
      <c r="AA32" s="679">
        <v>15</v>
      </c>
      <c r="AB32" s="695">
        <f t="shared" si="2"/>
        <v>67</v>
      </c>
      <c r="AC32" s="696">
        <f t="shared" si="1"/>
        <v>0.69791666666666663</v>
      </c>
      <c r="AD32" s="679" t="s">
        <v>840</v>
      </c>
    </row>
    <row r="33" spans="1:29" x14ac:dyDescent="0.2">
      <c r="A33" s="684" t="s">
        <v>208</v>
      </c>
      <c r="B33" s="679">
        <v>15</v>
      </c>
      <c r="C33" s="679">
        <v>1</v>
      </c>
      <c r="D33" s="679">
        <v>0</v>
      </c>
      <c r="E33" s="679">
        <v>16</v>
      </c>
      <c r="F33" s="679">
        <v>0</v>
      </c>
      <c r="G33" s="679">
        <v>0</v>
      </c>
      <c r="H33" s="679">
        <v>16</v>
      </c>
      <c r="I33" s="679">
        <v>0</v>
      </c>
      <c r="J33" s="679">
        <v>0</v>
      </c>
      <c r="K33" s="679">
        <v>16</v>
      </c>
      <c r="L33" s="679">
        <v>0</v>
      </c>
      <c r="M33" s="679">
        <v>0</v>
      </c>
      <c r="N33" s="679">
        <v>63</v>
      </c>
      <c r="O33" s="679">
        <v>1</v>
      </c>
      <c r="P33" s="679">
        <v>0</v>
      </c>
      <c r="Q33" s="679">
        <v>1</v>
      </c>
      <c r="R33" s="680">
        <f>(63/64)*100</f>
        <v>98.4375</v>
      </c>
      <c r="S33" s="680">
        <f>(1/64)*100</f>
        <v>1.5625</v>
      </c>
      <c r="T33" s="680">
        <v>0</v>
      </c>
      <c r="U33" s="680">
        <v>1.56</v>
      </c>
      <c r="W33" s="684" t="s">
        <v>208</v>
      </c>
      <c r="X33" s="679">
        <v>18</v>
      </c>
      <c r="Y33" s="679">
        <v>18</v>
      </c>
      <c r="Z33" s="679">
        <v>17</v>
      </c>
      <c r="AA33" s="679">
        <v>17</v>
      </c>
      <c r="AB33" s="695">
        <f t="shared" si="2"/>
        <v>70</v>
      </c>
      <c r="AC33" s="696">
        <f t="shared" si="1"/>
        <v>0.72916666666666663</v>
      </c>
    </row>
    <row r="34" spans="1:29" x14ac:dyDescent="0.2">
      <c r="A34" s="684" t="s">
        <v>209</v>
      </c>
      <c r="B34" s="679">
        <v>14</v>
      </c>
      <c r="C34" s="679">
        <v>1</v>
      </c>
      <c r="D34" s="679">
        <v>1</v>
      </c>
      <c r="E34" s="679">
        <v>14</v>
      </c>
      <c r="F34" s="679">
        <v>1</v>
      </c>
      <c r="G34" s="679">
        <v>1</v>
      </c>
      <c r="H34" s="679">
        <v>16</v>
      </c>
      <c r="I34" s="679">
        <v>0</v>
      </c>
      <c r="J34" s="679">
        <v>0</v>
      </c>
      <c r="K34" s="679">
        <v>16</v>
      </c>
      <c r="L34" s="679">
        <v>0</v>
      </c>
      <c r="M34" s="679">
        <v>0</v>
      </c>
      <c r="N34" s="679">
        <v>60</v>
      </c>
      <c r="O34" s="679">
        <v>2</v>
      </c>
      <c r="P34" s="679">
        <v>2</v>
      </c>
      <c r="Q34" s="679">
        <v>4</v>
      </c>
      <c r="R34" s="680">
        <f>(60/64)*100</f>
        <v>93.75</v>
      </c>
      <c r="S34" s="680">
        <f>(2/64)*100</f>
        <v>3.125</v>
      </c>
      <c r="T34" s="680">
        <f>(2/64)*100</f>
        <v>3.125</v>
      </c>
      <c r="U34" s="680">
        <f>SUM(S34:T34)</f>
        <v>6.25</v>
      </c>
      <c r="W34" s="684" t="s">
        <v>209</v>
      </c>
      <c r="X34" s="679">
        <v>18</v>
      </c>
      <c r="Y34" s="679">
        <v>17</v>
      </c>
      <c r="Z34" s="679">
        <v>17</v>
      </c>
      <c r="AA34" s="679">
        <v>17</v>
      </c>
      <c r="AB34" s="695">
        <f t="shared" si="2"/>
        <v>69</v>
      </c>
      <c r="AC34" s="696">
        <f t="shared" si="1"/>
        <v>0.71875</v>
      </c>
    </row>
    <row r="35" spans="1:29" x14ac:dyDescent="0.2">
      <c r="A35" s="684" t="s">
        <v>468</v>
      </c>
      <c r="B35" s="679">
        <v>15</v>
      </c>
      <c r="C35" s="679">
        <v>0</v>
      </c>
      <c r="D35" s="679">
        <v>1</v>
      </c>
      <c r="E35" s="679">
        <v>15</v>
      </c>
      <c r="F35" s="679">
        <v>0</v>
      </c>
      <c r="G35" s="679">
        <v>1</v>
      </c>
      <c r="H35" s="679">
        <v>14</v>
      </c>
      <c r="I35" s="679">
        <v>0</v>
      </c>
      <c r="J35" s="679">
        <v>2</v>
      </c>
      <c r="K35" s="679">
        <v>15</v>
      </c>
      <c r="L35" s="679">
        <v>0</v>
      </c>
      <c r="M35" s="679">
        <v>1</v>
      </c>
      <c r="N35" s="679">
        <v>59</v>
      </c>
      <c r="O35" s="679">
        <v>0</v>
      </c>
      <c r="P35" s="679">
        <v>5</v>
      </c>
      <c r="Q35" s="679">
        <v>5</v>
      </c>
      <c r="R35" s="680">
        <f>(59/64)*100</f>
        <v>92.1875</v>
      </c>
      <c r="S35" s="680">
        <v>0</v>
      </c>
      <c r="T35" s="680">
        <f>(5/64)*100</f>
        <v>7.8125</v>
      </c>
      <c r="U35" s="680">
        <f>(5/64)*100</f>
        <v>7.8125</v>
      </c>
      <c r="W35" s="684" t="s">
        <v>468</v>
      </c>
      <c r="X35" s="679">
        <v>20</v>
      </c>
      <c r="Y35" s="679">
        <v>20</v>
      </c>
      <c r="Z35" s="679">
        <v>22</v>
      </c>
      <c r="AA35" s="679">
        <v>22</v>
      </c>
      <c r="AB35" s="695">
        <f t="shared" si="2"/>
        <v>84</v>
      </c>
      <c r="AC35" s="696">
        <f t="shared" si="1"/>
        <v>0.875</v>
      </c>
    </row>
    <row r="36" spans="1:29" x14ac:dyDescent="0.2">
      <c r="A36" s="684" t="s">
        <v>469</v>
      </c>
      <c r="W36" s="684" t="s">
        <v>469</v>
      </c>
      <c r="AC36" s="680">
        <v>0</v>
      </c>
    </row>
    <row r="37" spans="1:29" x14ac:dyDescent="0.2">
      <c r="A37" s="684" t="s">
        <v>470</v>
      </c>
      <c r="B37" s="679">
        <v>16</v>
      </c>
      <c r="C37" s="679">
        <v>0</v>
      </c>
      <c r="D37" s="679">
        <v>0</v>
      </c>
      <c r="E37" s="679">
        <v>16</v>
      </c>
      <c r="F37" s="679">
        <v>0</v>
      </c>
      <c r="G37" s="679">
        <v>0</v>
      </c>
      <c r="H37" s="679">
        <v>16</v>
      </c>
      <c r="I37" s="679">
        <v>0</v>
      </c>
      <c r="J37" s="679">
        <v>0</v>
      </c>
      <c r="K37" s="679">
        <v>16</v>
      </c>
      <c r="L37" s="679">
        <v>0</v>
      </c>
      <c r="M37" s="679">
        <v>0</v>
      </c>
      <c r="N37" s="679">
        <v>64</v>
      </c>
      <c r="O37" s="679">
        <v>0</v>
      </c>
      <c r="P37" s="679">
        <v>0</v>
      </c>
      <c r="Q37" s="679">
        <v>0</v>
      </c>
      <c r="R37" s="680">
        <v>100</v>
      </c>
      <c r="S37" s="680">
        <v>0</v>
      </c>
      <c r="T37" s="680">
        <v>0</v>
      </c>
      <c r="U37" s="680">
        <v>0</v>
      </c>
      <c r="W37" s="684" t="s">
        <v>470</v>
      </c>
      <c r="X37" s="679">
        <v>18</v>
      </c>
      <c r="Y37" s="679">
        <v>15</v>
      </c>
      <c r="Z37" s="679">
        <v>15</v>
      </c>
      <c r="AA37" s="679">
        <v>14</v>
      </c>
      <c r="AB37" s="695">
        <v>62</v>
      </c>
      <c r="AC37" s="696">
        <v>0.64583333333333337</v>
      </c>
    </row>
    <row r="38" spans="1:29" x14ac:dyDescent="0.2">
      <c r="A38" s="684" t="s">
        <v>471</v>
      </c>
      <c r="B38" s="679">
        <v>15</v>
      </c>
      <c r="C38" s="679">
        <v>1</v>
      </c>
      <c r="D38" s="679">
        <v>0</v>
      </c>
      <c r="E38" s="679">
        <v>16</v>
      </c>
      <c r="F38" s="679">
        <v>0</v>
      </c>
      <c r="G38" s="679">
        <v>0</v>
      </c>
      <c r="H38" s="679">
        <v>15</v>
      </c>
      <c r="I38" s="679">
        <v>0</v>
      </c>
      <c r="J38" s="679">
        <v>1</v>
      </c>
      <c r="K38" s="679">
        <v>15</v>
      </c>
      <c r="L38" s="679">
        <v>0</v>
      </c>
      <c r="M38" s="679">
        <v>1</v>
      </c>
      <c r="N38" s="679">
        <v>61</v>
      </c>
      <c r="O38" s="679">
        <v>1</v>
      </c>
      <c r="P38" s="679">
        <v>2</v>
      </c>
      <c r="Q38" s="679">
        <v>3</v>
      </c>
      <c r="R38" s="680">
        <f>(61/64)*100</f>
        <v>95.3125</v>
      </c>
      <c r="S38" s="680">
        <f>(1/64)*100</f>
        <v>1.5625</v>
      </c>
      <c r="T38" s="680">
        <f>(2/64)*100</f>
        <v>3.125</v>
      </c>
      <c r="U38" s="680">
        <f>(3/64)*100</f>
        <v>4.6875</v>
      </c>
      <c r="W38" s="684" t="s">
        <v>471</v>
      </c>
      <c r="X38" s="679">
        <v>20</v>
      </c>
      <c r="Y38" s="679">
        <v>24</v>
      </c>
      <c r="Z38" s="679">
        <v>23</v>
      </c>
      <c r="AA38" s="679">
        <v>23</v>
      </c>
      <c r="AB38" s="679">
        <f t="shared" si="2"/>
        <v>90</v>
      </c>
      <c r="AC38" s="680">
        <f t="shared" si="1"/>
        <v>0.9375</v>
      </c>
    </row>
    <row r="39" spans="1:29" x14ac:dyDescent="0.2">
      <c r="A39" s="684" t="s">
        <v>472</v>
      </c>
      <c r="B39" s="679">
        <v>16</v>
      </c>
      <c r="C39" s="679">
        <v>0</v>
      </c>
      <c r="D39" s="679">
        <v>0</v>
      </c>
      <c r="E39" s="679">
        <v>16</v>
      </c>
      <c r="F39" s="679">
        <v>0</v>
      </c>
      <c r="G39" s="679">
        <v>0</v>
      </c>
      <c r="H39" s="679">
        <v>15</v>
      </c>
      <c r="I39" s="679">
        <v>0</v>
      </c>
      <c r="J39" s="679">
        <v>1</v>
      </c>
      <c r="K39" s="679">
        <v>16</v>
      </c>
      <c r="L39" s="679">
        <v>0</v>
      </c>
      <c r="M39" s="679">
        <v>0</v>
      </c>
      <c r="N39" s="679">
        <v>63</v>
      </c>
      <c r="O39" s="679">
        <v>0</v>
      </c>
      <c r="P39" s="679">
        <v>1</v>
      </c>
      <c r="Q39" s="679">
        <v>1</v>
      </c>
      <c r="R39" s="680">
        <f>(63/64)*100</f>
        <v>98.4375</v>
      </c>
      <c r="S39" s="680">
        <v>0</v>
      </c>
      <c r="T39" s="680">
        <f>(1/64)*100</f>
        <v>1.5625</v>
      </c>
      <c r="U39" s="680">
        <v>1.56</v>
      </c>
      <c r="W39" s="684" t="s">
        <v>472</v>
      </c>
      <c r="X39" s="679">
        <v>19</v>
      </c>
      <c r="Y39" s="679">
        <v>19</v>
      </c>
      <c r="Z39" s="679">
        <v>22</v>
      </c>
      <c r="AA39" s="679">
        <v>20</v>
      </c>
      <c r="AB39" s="695">
        <f t="shared" si="2"/>
        <v>80</v>
      </c>
      <c r="AC39" s="696">
        <f t="shared" si="1"/>
        <v>0.83333333333333337</v>
      </c>
    </row>
    <row r="40" spans="1:29" x14ac:dyDescent="0.2">
      <c r="A40" s="684" t="s">
        <v>473</v>
      </c>
      <c r="B40" s="679">
        <v>15</v>
      </c>
      <c r="C40" s="679">
        <v>0</v>
      </c>
      <c r="D40" s="679">
        <v>1</v>
      </c>
      <c r="E40" s="679">
        <v>16</v>
      </c>
      <c r="F40" s="679">
        <v>0</v>
      </c>
      <c r="G40" s="679">
        <v>0</v>
      </c>
      <c r="H40" s="679">
        <v>16</v>
      </c>
      <c r="I40" s="679">
        <v>0</v>
      </c>
      <c r="J40" s="679">
        <v>0</v>
      </c>
      <c r="K40" s="679">
        <v>16</v>
      </c>
      <c r="L40" s="679">
        <v>0</v>
      </c>
      <c r="M40" s="679">
        <v>0</v>
      </c>
      <c r="N40" s="679">
        <v>63</v>
      </c>
      <c r="O40" s="679">
        <v>0</v>
      </c>
      <c r="P40" s="679">
        <v>1</v>
      </c>
      <c r="Q40" s="679">
        <v>1</v>
      </c>
      <c r="R40" s="680">
        <v>98.44</v>
      </c>
      <c r="S40" s="680">
        <v>0</v>
      </c>
      <c r="T40" s="680">
        <v>1.56</v>
      </c>
      <c r="U40" s="680">
        <v>1.56</v>
      </c>
      <c r="W40" s="684" t="s">
        <v>473</v>
      </c>
      <c r="X40" s="679">
        <v>21</v>
      </c>
      <c r="Y40" s="679">
        <v>18</v>
      </c>
      <c r="Z40" s="679">
        <v>20</v>
      </c>
      <c r="AA40" s="679">
        <v>20</v>
      </c>
      <c r="AB40" s="679">
        <f t="shared" si="2"/>
        <v>79</v>
      </c>
      <c r="AC40" s="680">
        <f t="shared" si="1"/>
        <v>0.82291666666666663</v>
      </c>
    </row>
    <row r="47" spans="1:29" x14ac:dyDescent="0.2">
      <c r="A47" s="684" t="s">
        <v>36</v>
      </c>
      <c r="W47" s="684" t="s">
        <v>36</v>
      </c>
    </row>
    <row r="48" spans="1:29" x14ac:dyDescent="0.2">
      <c r="A48" s="684" t="s">
        <v>98</v>
      </c>
      <c r="B48" s="679">
        <v>13</v>
      </c>
      <c r="C48" s="679">
        <v>0</v>
      </c>
      <c r="D48" s="679">
        <v>3</v>
      </c>
      <c r="E48" s="679">
        <v>15</v>
      </c>
      <c r="F48" s="679">
        <v>0</v>
      </c>
      <c r="G48" s="679">
        <v>1</v>
      </c>
      <c r="H48" s="679">
        <v>15</v>
      </c>
      <c r="I48" s="679">
        <v>0</v>
      </c>
      <c r="J48" s="679">
        <v>1</v>
      </c>
      <c r="K48" s="679">
        <v>13</v>
      </c>
      <c r="L48" s="679">
        <v>2</v>
      </c>
      <c r="M48" s="679">
        <v>1</v>
      </c>
      <c r="N48" s="679">
        <f>SUM(B48,E48,H48,K48)</f>
        <v>56</v>
      </c>
      <c r="O48" s="679">
        <v>2</v>
      </c>
      <c r="P48" s="679">
        <v>6</v>
      </c>
      <c r="Q48" s="679">
        <v>8</v>
      </c>
      <c r="R48" s="680">
        <f>(56/64)*100</f>
        <v>87.5</v>
      </c>
      <c r="S48" s="680">
        <f>(2/64)*100</f>
        <v>3.125</v>
      </c>
      <c r="T48" s="680">
        <f>(6/64)*100</f>
        <v>9.375</v>
      </c>
      <c r="U48" s="680">
        <f>SUM(S48:T48)</f>
        <v>12.5</v>
      </c>
      <c r="W48" s="684" t="s">
        <v>98</v>
      </c>
      <c r="X48" s="679">
        <v>14</v>
      </c>
      <c r="Y48" s="679">
        <v>11</v>
      </c>
      <c r="Z48" s="679">
        <v>11</v>
      </c>
      <c r="AA48" s="679">
        <v>12</v>
      </c>
      <c r="AB48" s="679">
        <f>SUM(X48:AA48)</f>
        <v>48</v>
      </c>
      <c r="AC48" s="680">
        <f>AB48/(24*4)</f>
        <v>0.5</v>
      </c>
    </row>
    <row r="49" spans="1:30" x14ac:dyDescent="0.2">
      <c r="A49" s="684" t="s">
        <v>100</v>
      </c>
      <c r="B49" s="679">
        <v>16</v>
      </c>
      <c r="C49" s="679">
        <v>0</v>
      </c>
      <c r="D49" s="679">
        <v>0</v>
      </c>
      <c r="E49" s="679">
        <v>15</v>
      </c>
      <c r="F49" s="679">
        <v>1</v>
      </c>
      <c r="G49" s="679">
        <v>0</v>
      </c>
      <c r="H49" s="679">
        <v>16</v>
      </c>
      <c r="I49" s="679">
        <v>0</v>
      </c>
      <c r="J49" s="679">
        <v>0</v>
      </c>
      <c r="K49" s="679">
        <v>16</v>
      </c>
      <c r="L49" s="679">
        <v>0</v>
      </c>
      <c r="M49" s="679">
        <v>0</v>
      </c>
      <c r="N49" s="679">
        <v>63</v>
      </c>
      <c r="O49" s="679">
        <v>1</v>
      </c>
      <c r="P49" s="679">
        <v>0</v>
      </c>
      <c r="Q49" s="679">
        <v>1</v>
      </c>
      <c r="R49" s="680">
        <f>(63/64)*100</f>
        <v>98.4375</v>
      </c>
      <c r="S49" s="680">
        <f>(1/64)*100</f>
        <v>1.5625</v>
      </c>
      <c r="T49" s="680">
        <v>0</v>
      </c>
      <c r="U49" s="680">
        <v>1.56</v>
      </c>
      <c r="W49" s="684" t="s">
        <v>100</v>
      </c>
      <c r="X49" s="679" t="s">
        <v>739</v>
      </c>
      <c r="Y49" s="679">
        <v>19</v>
      </c>
      <c r="Z49" s="679">
        <v>18</v>
      </c>
      <c r="AA49" s="679">
        <v>19</v>
      </c>
      <c r="AB49" s="679">
        <f>SUM(Y49:AA49)</f>
        <v>56</v>
      </c>
      <c r="AC49" s="680">
        <f>56/(24*3)</f>
        <v>0.77777777777777779</v>
      </c>
    </row>
    <row r="50" spans="1:30" x14ac:dyDescent="0.2">
      <c r="A50" s="684" t="s">
        <v>107</v>
      </c>
      <c r="B50" s="679">
        <v>16</v>
      </c>
      <c r="C50" s="679">
        <v>0</v>
      </c>
      <c r="D50" s="679">
        <v>0</v>
      </c>
      <c r="E50" s="679">
        <v>16</v>
      </c>
      <c r="F50" s="679">
        <v>0</v>
      </c>
      <c r="G50" s="679">
        <v>0</v>
      </c>
      <c r="H50" s="679">
        <v>16</v>
      </c>
      <c r="I50" s="679">
        <v>0</v>
      </c>
      <c r="J50" s="679">
        <v>0</v>
      </c>
      <c r="K50" s="679">
        <v>16</v>
      </c>
      <c r="L50" s="679">
        <v>0</v>
      </c>
      <c r="M50" s="679">
        <v>0</v>
      </c>
      <c r="N50" s="679">
        <v>64</v>
      </c>
      <c r="O50" s="679">
        <v>0</v>
      </c>
      <c r="P50" s="679">
        <v>0</v>
      </c>
      <c r="Q50" s="679">
        <v>0</v>
      </c>
      <c r="R50" s="680">
        <v>100</v>
      </c>
      <c r="S50" s="680">
        <v>0</v>
      </c>
      <c r="T50" s="680">
        <v>0</v>
      </c>
      <c r="U50" s="680">
        <v>0</v>
      </c>
      <c r="W50" s="684" t="s">
        <v>107</v>
      </c>
      <c r="X50" s="679">
        <v>12</v>
      </c>
      <c r="Y50" s="679">
        <v>12</v>
      </c>
      <c r="Z50" s="679">
        <v>12</v>
      </c>
      <c r="AA50" s="679">
        <v>13</v>
      </c>
      <c r="AB50" s="679">
        <f>SUM(X50:AA50)</f>
        <v>49</v>
      </c>
      <c r="AC50" s="680">
        <f>49/(24*4)</f>
        <v>0.51041666666666663</v>
      </c>
    </row>
    <row r="51" spans="1:30" x14ac:dyDescent="0.2">
      <c r="A51" s="684" t="s">
        <v>168</v>
      </c>
      <c r="B51" s="679">
        <v>16</v>
      </c>
      <c r="C51" s="679">
        <v>0</v>
      </c>
      <c r="D51" s="679">
        <v>0</v>
      </c>
      <c r="E51" s="679">
        <v>16</v>
      </c>
      <c r="F51" s="679">
        <v>0</v>
      </c>
      <c r="G51" s="679">
        <v>0</v>
      </c>
      <c r="H51" s="679">
        <v>15</v>
      </c>
      <c r="I51" s="679">
        <v>0</v>
      </c>
      <c r="J51" s="679">
        <v>1</v>
      </c>
      <c r="K51" s="679">
        <v>16</v>
      </c>
      <c r="L51" s="679">
        <v>0</v>
      </c>
      <c r="M51" s="679">
        <v>0</v>
      </c>
      <c r="N51" s="679">
        <v>63</v>
      </c>
      <c r="O51" s="679">
        <v>0</v>
      </c>
      <c r="P51" s="679">
        <v>1</v>
      </c>
      <c r="Q51" s="679">
        <v>1</v>
      </c>
      <c r="R51" s="680">
        <f>(63/64)*100</f>
        <v>98.4375</v>
      </c>
      <c r="S51" s="680">
        <v>0</v>
      </c>
      <c r="T51" s="680">
        <v>1.56</v>
      </c>
      <c r="U51" s="680">
        <v>1.56</v>
      </c>
      <c r="W51" s="684" t="s">
        <v>168</v>
      </c>
      <c r="X51" s="679">
        <v>19</v>
      </c>
      <c r="Y51" s="679">
        <v>18</v>
      </c>
      <c r="Z51" s="679">
        <v>19</v>
      </c>
      <c r="AA51" s="679">
        <v>18</v>
      </c>
      <c r="AB51" s="679">
        <f t="shared" ref="AB51:AB84" si="3">SUM(X51:AA51)</f>
        <v>74</v>
      </c>
      <c r="AC51" s="680">
        <f t="shared" ref="AC51:AC56" si="4">AB51/(24*4)</f>
        <v>0.77083333333333337</v>
      </c>
    </row>
    <row r="52" spans="1:30" x14ac:dyDescent="0.2">
      <c r="A52" s="684" t="s">
        <v>192</v>
      </c>
      <c r="B52" s="679">
        <v>16</v>
      </c>
      <c r="C52" s="679">
        <v>0</v>
      </c>
      <c r="D52" s="679">
        <v>0</v>
      </c>
      <c r="E52" s="679">
        <v>16</v>
      </c>
      <c r="F52" s="679">
        <v>0</v>
      </c>
      <c r="G52" s="679">
        <v>0</v>
      </c>
      <c r="H52" s="679">
        <v>16</v>
      </c>
      <c r="I52" s="679">
        <v>0</v>
      </c>
      <c r="J52" s="679">
        <v>0</v>
      </c>
      <c r="K52" s="679">
        <v>16</v>
      </c>
      <c r="L52" s="679">
        <v>0</v>
      </c>
      <c r="M52" s="679">
        <v>0</v>
      </c>
      <c r="N52" s="679">
        <v>64</v>
      </c>
      <c r="O52" s="679">
        <v>0</v>
      </c>
      <c r="P52" s="679">
        <v>0</v>
      </c>
      <c r="Q52" s="679">
        <v>0</v>
      </c>
      <c r="R52" s="680">
        <v>100</v>
      </c>
      <c r="S52" s="680">
        <v>0</v>
      </c>
      <c r="T52" s="680">
        <v>0</v>
      </c>
      <c r="U52" s="680">
        <v>0</v>
      </c>
      <c r="W52" s="684" t="s">
        <v>192</v>
      </c>
      <c r="X52" s="679">
        <v>18</v>
      </c>
      <c r="Y52" s="679">
        <v>17</v>
      </c>
      <c r="Z52" s="679">
        <v>18</v>
      </c>
      <c r="AA52" s="679">
        <v>16</v>
      </c>
      <c r="AB52" s="679">
        <f t="shared" si="3"/>
        <v>69</v>
      </c>
      <c r="AC52" s="680">
        <f t="shared" si="4"/>
        <v>0.71875</v>
      </c>
    </row>
    <row r="53" spans="1:30" x14ac:dyDescent="0.2">
      <c r="A53" s="684" t="s">
        <v>195</v>
      </c>
      <c r="B53" s="679">
        <v>16</v>
      </c>
      <c r="C53" s="679">
        <v>0</v>
      </c>
      <c r="D53" s="679">
        <v>0</v>
      </c>
      <c r="E53" s="679">
        <v>16</v>
      </c>
      <c r="F53" s="679">
        <v>0</v>
      </c>
      <c r="G53" s="679">
        <v>0</v>
      </c>
      <c r="H53" s="679">
        <v>16</v>
      </c>
      <c r="I53" s="679">
        <v>0</v>
      </c>
      <c r="J53" s="679">
        <v>0</v>
      </c>
      <c r="K53" s="679">
        <v>15</v>
      </c>
      <c r="L53" s="679">
        <v>1</v>
      </c>
      <c r="M53" s="679">
        <v>0</v>
      </c>
      <c r="N53" s="679">
        <v>63</v>
      </c>
      <c r="O53" s="679">
        <v>1</v>
      </c>
      <c r="P53" s="679">
        <v>0</v>
      </c>
      <c r="Q53" s="679">
        <v>1</v>
      </c>
      <c r="R53" s="680">
        <f>(63/64)*100</f>
        <v>98.4375</v>
      </c>
      <c r="S53" s="680">
        <f>(1/64)*100</f>
        <v>1.5625</v>
      </c>
      <c r="T53" s="680">
        <v>0</v>
      </c>
      <c r="U53" s="680">
        <v>1.56</v>
      </c>
      <c r="W53" s="684" t="s">
        <v>195</v>
      </c>
      <c r="X53" s="679">
        <v>17</v>
      </c>
      <c r="Y53" s="679">
        <v>18</v>
      </c>
      <c r="Z53" s="679">
        <v>14</v>
      </c>
      <c r="AA53" s="679">
        <v>11</v>
      </c>
      <c r="AB53" s="679">
        <f t="shared" si="3"/>
        <v>60</v>
      </c>
      <c r="AC53" s="680">
        <f t="shared" si="4"/>
        <v>0.625</v>
      </c>
    </row>
    <row r="54" spans="1:30" x14ac:dyDescent="0.2">
      <c r="A54" s="684" t="s">
        <v>211</v>
      </c>
      <c r="B54" s="679">
        <v>16</v>
      </c>
      <c r="C54" s="679">
        <v>0</v>
      </c>
      <c r="D54" s="679">
        <v>0</v>
      </c>
      <c r="E54" s="679">
        <v>16</v>
      </c>
      <c r="F54" s="679">
        <v>0</v>
      </c>
      <c r="G54" s="679">
        <v>0</v>
      </c>
      <c r="H54" s="679">
        <v>16</v>
      </c>
      <c r="I54" s="679">
        <v>0</v>
      </c>
      <c r="J54" s="679">
        <v>0</v>
      </c>
      <c r="K54" s="679">
        <v>16</v>
      </c>
      <c r="L54" s="679">
        <v>0</v>
      </c>
      <c r="M54" s="679">
        <v>0</v>
      </c>
      <c r="N54" s="679">
        <v>64</v>
      </c>
      <c r="O54" s="679">
        <v>0</v>
      </c>
      <c r="P54" s="679">
        <v>0</v>
      </c>
      <c r="Q54" s="679">
        <v>0</v>
      </c>
      <c r="R54" s="680">
        <v>100</v>
      </c>
      <c r="S54" s="680">
        <v>0</v>
      </c>
      <c r="T54" s="680">
        <v>0</v>
      </c>
      <c r="U54" s="680">
        <v>0</v>
      </c>
      <c r="W54" s="684" t="s">
        <v>211</v>
      </c>
      <c r="X54" s="679">
        <v>32</v>
      </c>
      <c r="Y54" s="679">
        <v>29</v>
      </c>
      <c r="Z54" s="679">
        <v>29</v>
      </c>
      <c r="AA54" s="679">
        <v>28</v>
      </c>
      <c r="AB54" s="679">
        <f t="shared" si="3"/>
        <v>118</v>
      </c>
      <c r="AC54" s="680">
        <f t="shared" si="4"/>
        <v>1.2291666666666667</v>
      </c>
    </row>
    <row r="55" spans="1:30" x14ac:dyDescent="0.2">
      <c r="A55" s="684" t="s">
        <v>215</v>
      </c>
      <c r="B55" s="679">
        <v>16</v>
      </c>
      <c r="C55" s="679">
        <v>0</v>
      </c>
      <c r="D55" s="679">
        <v>0</v>
      </c>
      <c r="E55" s="679">
        <v>16</v>
      </c>
      <c r="F55" s="679">
        <v>0</v>
      </c>
      <c r="G55" s="679">
        <v>0</v>
      </c>
      <c r="H55" s="679">
        <v>16</v>
      </c>
      <c r="I55" s="679">
        <v>0</v>
      </c>
      <c r="J55" s="679">
        <v>0</v>
      </c>
      <c r="K55" s="679">
        <v>16</v>
      </c>
      <c r="L55" s="679">
        <v>0</v>
      </c>
      <c r="M55" s="679">
        <v>0</v>
      </c>
      <c r="N55" s="679">
        <v>64</v>
      </c>
      <c r="O55" s="679">
        <v>0</v>
      </c>
      <c r="P55" s="679">
        <v>0</v>
      </c>
      <c r="Q55" s="679">
        <v>0</v>
      </c>
      <c r="R55" s="680">
        <v>100</v>
      </c>
      <c r="S55" s="680">
        <v>0</v>
      </c>
      <c r="T55" s="680">
        <v>0</v>
      </c>
      <c r="U55" s="680">
        <v>0</v>
      </c>
      <c r="W55" s="684" t="s">
        <v>215</v>
      </c>
      <c r="X55" s="679">
        <v>16</v>
      </c>
      <c r="Y55" s="679">
        <v>16</v>
      </c>
      <c r="Z55" s="679">
        <v>16</v>
      </c>
      <c r="AA55" s="679">
        <v>17</v>
      </c>
      <c r="AB55" s="679">
        <f t="shared" si="3"/>
        <v>65</v>
      </c>
      <c r="AC55" s="680">
        <f t="shared" si="4"/>
        <v>0.67708333333333337</v>
      </c>
    </row>
    <row r="56" spans="1:30" x14ac:dyDescent="0.2">
      <c r="A56" s="684" t="s">
        <v>218</v>
      </c>
      <c r="B56" s="679">
        <v>16</v>
      </c>
      <c r="C56" s="679">
        <v>0</v>
      </c>
      <c r="D56" s="679">
        <v>0</v>
      </c>
      <c r="E56" s="679">
        <v>16</v>
      </c>
      <c r="F56" s="679">
        <v>0</v>
      </c>
      <c r="G56" s="679">
        <v>0</v>
      </c>
      <c r="H56" s="679">
        <v>14</v>
      </c>
      <c r="I56" s="679">
        <v>0</v>
      </c>
      <c r="J56" s="679">
        <v>2</v>
      </c>
      <c r="K56" s="679">
        <v>16</v>
      </c>
      <c r="L56" s="679">
        <v>0</v>
      </c>
      <c r="M56" s="679">
        <v>0</v>
      </c>
      <c r="N56" s="679">
        <v>62</v>
      </c>
      <c r="O56" s="679">
        <v>0</v>
      </c>
      <c r="P56" s="679">
        <v>2</v>
      </c>
      <c r="Q56" s="679">
        <v>2</v>
      </c>
      <c r="R56" s="680">
        <f>(62/64)*100</f>
        <v>96.875</v>
      </c>
      <c r="S56" s="680">
        <v>0</v>
      </c>
      <c r="T56" s="680">
        <f>(2/64)*100</f>
        <v>3.125</v>
      </c>
      <c r="U56" s="680">
        <v>3.13</v>
      </c>
      <c r="W56" s="684" t="s">
        <v>218</v>
      </c>
      <c r="X56" s="679">
        <v>13</v>
      </c>
      <c r="Y56" s="679">
        <v>17</v>
      </c>
      <c r="Z56" s="679">
        <v>16</v>
      </c>
      <c r="AA56" s="679">
        <v>11</v>
      </c>
      <c r="AB56" s="679">
        <f t="shared" si="3"/>
        <v>57</v>
      </c>
      <c r="AC56" s="680">
        <f t="shared" si="4"/>
        <v>0.59375</v>
      </c>
    </row>
    <row r="57" spans="1:30" x14ac:dyDescent="0.2">
      <c r="A57" s="684" t="s">
        <v>238</v>
      </c>
      <c r="W57" s="684" t="s">
        <v>238</v>
      </c>
      <c r="AB57" s="679">
        <f t="shared" si="3"/>
        <v>0</v>
      </c>
      <c r="AC57" s="680">
        <f t="shared" ref="AC57:AC84" si="5">AB57/(24*4)</f>
        <v>0</v>
      </c>
    </row>
    <row r="58" spans="1:30" x14ac:dyDescent="0.2">
      <c r="A58" s="684" t="s">
        <v>242</v>
      </c>
      <c r="B58" s="679">
        <v>16</v>
      </c>
      <c r="C58" s="679">
        <v>0</v>
      </c>
      <c r="D58" s="679">
        <v>0</v>
      </c>
      <c r="E58" s="679">
        <v>16</v>
      </c>
      <c r="F58" s="679">
        <v>0</v>
      </c>
      <c r="G58" s="679">
        <v>0</v>
      </c>
      <c r="H58" s="679">
        <v>16</v>
      </c>
      <c r="I58" s="679">
        <v>0</v>
      </c>
      <c r="J58" s="679">
        <v>0</v>
      </c>
      <c r="K58" s="679">
        <v>16</v>
      </c>
      <c r="L58" s="679">
        <v>0</v>
      </c>
      <c r="M58" s="679">
        <v>0</v>
      </c>
      <c r="N58" s="679">
        <v>64</v>
      </c>
      <c r="O58" s="679">
        <v>0</v>
      </c>
      <c r="P58" s="679">
        <v>0</v>
      </c>
      <c r="Q58" s="679">
        <v>0</v>
      </c>
      <c r="R58" s="680">
        <v>100</v>
      </c>
      <c r="S58" s="680">
        <v>0</v>
      </c>
      <c r="T58" s="680">
        <v>0</v>
      </c>
      <c r="U58" s="680">
        <v>0</v>
      </c>
      <c r="W58" s="684" t="s">
        <v>242</v>
      </c>
      <c r="X58" s="679">
        <v>19</v>
      </c>
      <c r="Y58" s="679">
        <v>20</v>
      </c>
      <c r="Z58" s="679">
        <v>20</v>
      </c>
      <c r="AA58" s="679">
        <v>21</v>
      </c>
      <c r="AB58" s="679">
        <f t="shared" si="3"/>
        <v>80</v>
      </c>
      <c r="AC58" s="680">
        <f t="shared" si="5"/>
        <v>0.83333333333333337</v>
      </c>
    </row>
    <row r="59" spans="1:30" x14ac:dyDescent="0.2">
      <c r="A59" s="684" t="s">
        <v>249</v>
      </c>
      <c r="B59" s="679">
        <v>16</v>
      </c>
      <c r="C59" s="679">
        <v>0</v>
      </c>
      <c r="D59" s="679">
        <v>0</v>
      </c>
      <c r="E59" s="679">
        <v>16</v>
      </c>
      <c r="F59" s="679">
        <v>0</v>
      </c>
      <c r="G59" s="679">
        <v>0</v>
      </c>
      <c r="H59" s="679">
        <v>16</v>
      </c>
      <c r="I59" s="679">
        <v>0</v>
      </c>
      <c r="J59" s="679">
        <v>0</v>
      </c>
      <c r="K59" s="679">
        <v>16</v>
      </c>
      <c r="L59" s="679">
        <v>0</v>
      </c>
      <c r="M59" s="679">
        <v>0</v>
      </c>
      <c r="N59" s="679">
        <v>64</v>
      </c>
      <c r="O59" s="679">
        <v>0</v>
      </c>
      <c r="P59" s="679">
        <v>0</v>
      </c>
      <c r="Q59" s="679">
        <v>0</v>
      </c>
      <c r="R59" s="680">
        <v>100</v>
      </c>
      <c r="S59" s="680">
        <v>0</v>
      </c>
      <c r="T59" s="680">
        <v>0</v>
      </c>
      <c r="U59" s="680">
        <v>0</v>
      </c>
      <c r="W59" s="684" t="s">
        <v>249</v>
      </c>
      <c r="X59" s="679">
        <v>16</v>
      </c>
      <c r="Y59" s="679">
        <v>16</v>
      </c>
      <c r="Z59" s="679">
        <v>17</v>
      </c>
      <c r="AA59" s="679">
        <v>15</v>
      </c>
      <c r="AB59" s="679">
        <f t="shared" si="3"/>
        <v>64</v>
      </c>
      <c r="AC59" s="680">
        <f t="shared" si="5"/>
        <v>0.66666666666666663</v>
      </c>
    </row>
    <row r="60" spans="1:30" x14ac:dyDescent="0.2">
      <c r="A60" s="684" t="s">
        <v>252</v>
      </c>
      <c r="B60" s="679">
        <v>16</v>
      </c>
      <c r="C60" s="679">
        <v>0</v>
      </c>
      <c r="D60" s="679">
        <v>0</v>
      </c>
      <c r="E60" s="679">
        <v>16</v>
      </c>
      <c r="F60" s="679">
        <v>0</v>
      </c>
      <c r="G60" s="679">
        <v>0</v>
      </c>
      <c r="H60" s="679">
        <v>16</v>
      </c>
      <c r="I60" s="679">
        <v>0</v>
      </c>
      <c r="J60" s="679">
        <v>0</v>
      </c>
      <c r="K60" s="679">
        <v>16</v>
      </c>
      <c r="L60" s="679">
        <v>0</v>
      </c>
      <c r="M60" s="679">
        <v>0</v>
      </c>
      <c r="N60" s="679">
        <v>64</v>
      </c>
      <c r="O60" s="679">
        <v>0</v>
      </c>
      <c r="P60" s="679">
        <v>0</v>
      </c>
      <c r="Q60" s="679">
        <v>0</v>
      </c>
      <c r="R60" s="680">
        <v>100</v>
      </c>
      <c r="S60" s="680">
        <v>0</v>
      </c>
      <c r="T60" s="680">
        <v>0</v>
      </c>
      <c r="U60" s="680">
        <v>0</v>
      </c>
      <c r="W60" s="684" t="s">
        <v>252</v>
      </c>
      <c r="X60" s="679">
        <v>17</v>
      </c>
      <c r="Y60" s="679">
        <v>15</v>
      </c>
      <c r="Z60" s="679">
        <v>15</v>
      </c>
      <c r="AA60" s="679">
        <v>15</v>
      </c>
      <c r="AB60" s="679">
        <f t="shared" si="3"/>
        <v>62</v>
      </c>
      <c r="AC60" s="680">
        <f t="shared" si="5"/>
        <v>0.64583333333333337</v>
      </c>
    </row>
    <row r="61" spans="1:30" x14ac:dyDescent="0.2">
      <c r="A61" s="684" t="s">
        <v>260</v>
      </c>
      <c r="B61" s="679">
        <v>16</v>
      </c>
      <c r="C61" s="679">
        <v>0</v>
      </c>
      <c r="D61" s="679">
        <v>0</v>
      </c>
      <c r="E61" s="679">
        <v>16</v>
      </c>
      <c r="F61" s="679">
        <v>0</v>
      </c>
      <c r="G61" s="679">
        <v>0</v>
      </c>
      <c r="H61" s="679">
        <v>16</v>
      </c>
      <c r="I61" s="679">
        <v>0</v>
      </c>
      <c r="J61" s="679">
        <v>0</v>
      </c>
      <c r="K61" s="679">
        <v>16</v>
      </c>
      <c r="L61" s="679">
        <v>0</v>
      </c>
      <c r="M61" s="679">
        <v>0</v>
      </c>
      <c r="N61" s="679">
        <v>64</v>
      </c>
      <c r="O61" s="679">
        <v>0</v>
      </c>
      <c r="P61" s="679">
        <v>0</v>
      </c>
      <c r="Q61" s="679">
        <v>0</v>
      </c>
      <c r="R61" s="680">
        <v>100</v>
      </c>
      <c r="S61" s="680">
        <v>0</v>
      </c>
      <c r="T61" s="680">
        <v>0</v>
      </c>
      <c r="U61" s="680">
        <v>0</v>
      </c>
      <c r="W61" s="684" t="s">
        <v>260</v>
      </c>
      <c r="AB61" s="679">
        <f t="shared" si="3"/>
        <v>0</v>
      </c>
      <c r="AC61" s="680">
        <f t="shared" si="5"/>
        <v>0</v>
      </c>
      <c r="AD61" s="679" t="s">
        <v>825</v>
      </c>
    </row>
    <row r="62" spans="1:30" x14ac:dyDescent="0.2">
      <c r="A62" s="684" t="s">
        <v>278</v>
      </c>
      <c r="W62" s="684" t="s">
        <v>278</v>
      </c>
      <c r="AB62" s="679">
        <f t="shared" si="3"/>
        <v>0</v>
      </c>
      <c r="AC62" s="680">
        <f t="shared" si="5"/>
        <v>0</v>
      </c>
    </row>
    <row r="63" spans="1:30" x14ac:dyDescent="0.2">
      <c r="A63" s="684" t="s">
        <v>284</v>
      </c>
      <c r="B63" s="679">
        <v>16</v>
      </c>
      <c r="C63" s="679">
        <v>0</v>
      </c>
      <c r="D63" s="679">
        <v>0</v>
      </c>
      <c r="E63" s="679">
        <v>16</v>
      </c>
      <c r="F63" s="679">
        <v>0</v>
      </c>
      <c r="G63" s="679">
        <v>0</v>
      </c>
      <c r="H63" s="679">
        <v>16</v>
      </c>
      <c r="I63" s="679">
        <v>0</v>
      </c>
      <c r="J63" s="679">
        <v>0</v>
      </c>
      <c r="K63" s="679">
        <v>16</v>
      </c>
      <c r="L63" s="679">
        <v>0</v>
      </c>
      <c r="M63" s="679">
        <v>0</v>
      </c>
      <c r="N63" s="679">
        <v>64</v>
      </c>
      <c r="O63" s="679">
        <v>0</v>
      </c>
      <c r="P63" s="679">
        <v>0</v>
      </c>
      <c r="Q63" s="679">
        <v>0</v>
      </c>
      <c r="R63" s="680">
        <v>100</v>
      </c>
      <c r="S63" s="680">
        <v>0</v>
      </c>
      <c r="T63" s="680">
        <v>0</v>
      </c>
      <c r="U63" s="680">
        <v>0</v>
      </c>
      <c r="W63" s="684" t="s">
        <v>284</v>
      </c>
      <c r="X63" s="679">
        <v>14</v>
      </c>
      <c r="Y63" s="679">
        <v>12</v>
      </c>
      <c r="Z63" s="679">
        <v>12</v>
      </c>
      <c r="AA63" s="679">
        <v>11</v>
      </c>
      <c r="AB63" s="679">
        <f t="shared" si="3"/>
        <v>49</v>
      </c>
      <c r="AC63" s="680">
        <f t="shared" si="5"/>
        <v>0.51041666666666663</v>
      </c>
    </row>
    <row r="64" spans="1:30" x14ac:dyDescent="0.2">
      <c r="A64" s="684" t="s">
        <v>312</v>
      </c>
      <c r="B64" s="679">
        <v>16</v>
      </c>
      <c r="C64" s="679">
        <v>0</v>
      </c>
      <c r="D64" s="679">
        <v>0</v>
      </c>
      <c r="E64" s="679">
        <v>16</v>
      </c>
      <c r="F64" s="679">
        <v>0</v>
      </c>
      <c r="G64" s="679">
        <v>0</v>
      </c>
      <c r="H64" s="679">
        <v>16</v>
      </c>
      <c r="I64" s="679">
        <v>0</v>
      </c>
      <c r="J64" s="679">
        <v>0</v>
      </c>
      <c r="K64" s="679">
        <v>16</v>
      </c>
      <c r="L64" s="679">
        <v>0</v>
      </c>
      <c r="M64" s="679">
        <v>0</v>
      </c>
      <c r="N64" s="679">
        <v>64</v>
      </c>
      <c r="O64" s="679">
        <v>0</v>
      </c>
      <c r="P64" s="679">
        <v>0</v>
      </c>
      <c r="Q64" s="679">
        <v>0</v>
      </c>
      <c r="R64" s="680">
        <v>100</v>
      </c>
      <c r="S64" s="680">
        <v>0</v>
      </c>
      <c r="T64" s="680">
        <v>0</v>
      </c>
      <c r="U64" s="680">
        <v>0</v>
      </c>
      <c r="W64" s="684" t="s">
        <v>312</v>
      </c>
      <c r="X64" s="679">
        <v>27</v>
      </c>
      <c r="Y64" s="679">
        <v>22</v>
      </c>
      <c r="Z64" s="679">
        <v>21</v>
      </c>
      <c r="AA64" s="679">
        <v>20</v>
      </c>
      <c r="AB64" s="679">
        <f t="shared" si="3"/>
        <v>90</v>
      </c>
      <c r="AC64" s="680">
        <f t="shared" si="5"/>
        <v>0.9375</v>
      </c>
    </row>
    <row r="65" spans="1:30" x14ac:dyDescent="0.2">
      <c r="A65" s="684" t="s">
        <v>320</v>
      </c>
      <c r="W65" s="684" t="s">
        <v>320</v>
      </c>
      <c r="AB65" s="679">
        <f t="shared" si="3"/>
        <v>0</v>
      </c>
      <c r="AC65" s="680">
        <f t="shared" si="5"/>
        <v>0</v>
      </c>
    </row>
    <row r="66" spans="1:30" x14ac:dyDescent="0.2">
      <c r="A66" s="684" t="s">
        <v>323</v>
      </c>
      <c r="B66" s="679">
        <v>15</v>
      </c>
      <c r="C66" s="679">
        <v>1</v>
      </c>
      <c r="D66" s="679">
        <v>0</v>
      </c>
      <c r="E66" s="679">
        <v>16</v>
      </c>
      <c r="F66" s="679">
        <v>0</v>
      </c>
      <c r="G66" s="679">
        <v>0</v>
      </c>
      <c r="H66" s="679">
        <v>16</v>
      </c>
      <c r="I66" s="679">
        <v>0</v>
      </c>
      <c r="J66" s="679">
        <v>0</v>
      </c>
      <c r="K66" s="679">
        <v>16</v>
      </c>
      <c r="L66" s="679">
        <v>0</v>
      </c>
      <c r="M66" s="679">
        <v>0</v>
      </c>
      <c r="N66" s="679">
        <v>63</v>
      </c>
      <c r="O66" s="679">
        <v>1</v>
      </c>
      <c r="P66" s="679">
        <v>0</v>
      </c>
      <c r="Q66" s="679">
        <v>1</v>
      </c>
      <c r="R66" s="680">
        <v>98.44</v>
      </c>
      <c r="S66" s="680">
        <v>1.56</v>
      </c>
      <c r="T66" s="680">
        <v>0</v>
      </c>
      <c r="U66" s="680">
        <v>1.56</v>
      </c>
      <c r="W66" s="684" t="s">
        <v>323</v>
      </c>
      <c r="X66" s="679">
        <v>26</v>
      </c>
      <c r="Y66" s="679">
        <v>13</v>
      </c>
      <c r="Z66" s="679">
        <v>12</v>
      </c>
      <c r="AA66" s="679">
        <v>11</v>
      </c>
      <c r="AB66" s="679">
        <f t="shared" si="3"/>
        <v>62</v>
      </c>
      <c r="AC66" s="680">
        <f t="shared" si="5"/>
        <v>0.64583333333333337</v>
      </c>
    </row>
    <row r="67" spans="1:30" x14ac:dyDescent="0.2">
      <c r="A67" s="684" t="s">
        <v>327</v>
      </c>
      <c r="B67" s="679">
        <v>15</v>
      </c>
      <c r="C67" s="679">
        <v>0</v>
      </c>
      <c r="D67" s="679">
        <v>1</v>
      </c>
      <c r="E67" s="679">
        <v>16</v>
      </c>
      <c r="F67" s="679">
        <v>0</v>
      </c>
      <c r="G67" s="679">
        <v>0</v>
      </c>
      <c r="H67" s="679">
        <v>16</v>
      </c>
      <c r="I67" s="679">
        <v>0</v>
      </c>
      <c r="J67" s="679">
        <v>0</v>
      </c>
      <c r="K67" s="679">
        <v>16</v>
      </c>
      <c r="L67" s="679">
        <v>0</v>
      </c>
      <c r="M67" s="679">
        <v>0</v>
      </c>
      <c r="N67" s="679">
        <v>63</v>
      </c>
      <c r="O67" s="679">
        <v>0</v>
      </c>
      <c r="P67" s="679">
        <v>1</v>
      </c>
      <c r="Q67" s="679">
        <v>0</v>
      </c>
      <c r="R67" s="680">
        <v>98.44</v>
      </c>
      <c r="S67" s="680">
        <v>0</v>
      </c>
      <c r="T67" s="680">
        <v>1.56</v>
      </c>
      <c r="U67" s="680">
        <v>1.56</v>
      </c>
      <c r="W67" s="684" t="s">
        <v>327</v>
      </c>
      <c r="X67" s="679">
        <v>24</v>
      </c>
      <c r="Y67" s="679">
        <v>22</v>
      </c>
      <c r="Z67" s="679">
        <v>25</v>
      </c>
      <c r="AA67" s="679">
        <v>26</v>
      </c>
      <c r="AB67" s="679">
        <f t="shared" si="3"/>
        <v>97</v>
      </c>
      <c r="AC67" s="680">
        <f t="shared" si="5"/>
        <v>1.0104166666666667</v>
      </c>
    </row>
    <row r="68" spans="1:30" x14ac:dyDescent="0.2">
      <c r="A68" s="684" t="s">
        <v>333</v>
      </c>
      <c r="B68" s="679">
        <v>16</v>
      </c>
      <c r="C68" s="679">
        <v>0</v>
      </c>
      <c r="D68" s="679">
        <v>0</v>
      </c>
      <c r="E68" s="679">
        <v>16</v>
      </c>
      <c r="F68" s="679">
        <v>0</v>
      </c>
      <c r="G68" s="679">
        <v>0</v>
      </c>
      <c r="H68" s="679">
        <v>16</v>
      </c>
      <c r="I68" s="679">
        <v>0</v>
      </c>
      <c r="J68" s="679">
        <v>0</v>
      </c>
      <c r="K68" s="679">
        <v>16</v>
      </c>
      <c r="L68" s="679">
        <v>0</v>
      </c>
      <c r="M68" s="679">
        <v>0</v>
      </c>
      <c r="N68" s="679">
        <v>64</v>
      </c>
      <c r="O68" s="679">
        <v>0</v>
      </c>
      <c r="P68" s="679">
        <v>0</v>
      </c>
      <c r="Q68" s="679">
        <v>0</v>
      </c>
      <c r="R68" s="680">
        <v>100</v>
      </c>
      <c r="S68" s="680">
        <v>0</v>
      </c>
      <c r="T68" s="680">
        <v>0</v>
      </c>
      <c r="U68" s="680">
        <v>0</v>
      </c>
      <c r="W68" s="684" t="s">
        <v>333</v>
      </c>
      <c r="X68" s="679">
        <v>16</v>
      </c>
      <c r="Y68" s="679">
        <v>15</v>
      </c>
      <c r="Z68" s="679">
        <v>15</v>
      </c>
      <c r="AA68" s="679">
        <v>16</v>
      </c>
      <c r="AB68" s="679">
        <f t="shared" si="3"/>
        <v>62</v>
      </c>
      <c r="AC68" s="680">
        <f t="shared" si="5"/>
        <v>0.64583333333333337</v>
      </c>
    </row>
    <row r="69" spans="1:30" x14ac:dyDescent="0.2">
      <c r="A69" s="684" t="s">
        <v>356</v>
      </c>
      <c r="B69" s="679">
        <v>13</v>
      </c>
      <c r="C69" s="679">
        <v>0</v>
      </c>
      <c r="D69" s="679">
        <v>3</v>
      </c>
      <c r="E69" s="679">
        <v>16</v>
      </c>
      <c r="F69" s="679">
        <v>0</v>
      </c>
      <c r="G69" s="679">
        <v>0</v>
      </c>
      <c r="H69" s="679">
        <v>14</v>
      </c>
      <c r="I69" s="679">
        <v>0</v>
      </c>
      <c r="J69" s="679">
        <v>2</v>
      </c>
      <c r="K69" s="679">
        <v>16</v>
      </c>
      <c r="L69" s="679">
        <v>0</v>
      </c>
      <c r="M69" s="679">
        <v>0</v>
      </c>
      <c r="N69" s="679">
        <v>59</v>
      </c>
      <c r="O69" s="679">
        <v>0</v>
      </c>
      <c r="P69" s="679">
        <v>5</v>
      </c>
      <c r="Q69" s="679">
        <v>5</v>
      </c>
      <c r="R69" s="680">
        <f>(59/64)*100</f>
        <v>92.1875</v>
      </c>
      <c r="S69" s="680">
        <v>0</v>
      </c>
      <c r="T69" s="680">
        <f>(5/64)*100</f>
        <v>7.8125</v>
      </c>
      <c r="U69" s="680">
        <v>7.81</v>
      </c>
      <c r="W69" s="684" t="s">
        <v>356</v>
      </c>
      <c r="X69" s="679">
        <v>12</v>
      </c>
      <c r="Y69" s="679">
        <v>11</v>
      </c>
      <c r="Z69" s="679">
        <v>11</v>
      </c>
      <c r="AA69" s="679">
        <v>11</v>
      </c>
      <c r="AB69" s="679">
        <f t="shared" si="3"/>
        <v>45</v>
      </c>
      <c r="AC69" s="680">
        <f t="shared" si="5"/>
        <v>0.46875</v>
      </c>
    </row>
    <row r="70" spans="1:30" x14ac:dyDescent="0.2">
      <c r="A70" s="684" t="s">
        <v>360</v>
      </c>
      <c r="B70" s="679">
        <v>16</v>
      </c>
      <c r="C70" s="679">
        <v>0</v>
      </c>
      <c r="D70" s="679">
        <v>0</v>
      </c>
      <c r="E70" s="679">
        <v>16</v>
      </c>
      <c r="F70" s="679">
        <v>0</v>
      </c>
      <c r="G70" s="679">
        <v>0</v>
      </c>
      <c r="H70" s="679">
        <v>16</v>
      </c>
      <c r="I70" s="679">
        <v>0</v>
      </c>
      <c r="J70" s="679">
        <v>0</v>
      </c>
      <c r="K70" s="679">
        <v>16</v>
      </c>
      <c r="L70" s="679">
        <v>0</v>
      </c>
      <c r="M70" s="679">
        <v>0</v>
      </c>
      <c r="N70" s="679">
        <v>64</v>
      </c>
      <c r="O70" s="679">
        <v>0</v>
      </c>
      <c r="P70" s="679">
        <v>0</v>
      </c>
      <c r="Q70" s="679">
        <v>0</v>
      </c>
      <c r="R70" s="680">
        <v>100</v>
      </c>
      <c r="S70" s="680">
        <v>0</v>
      </c>
      <c r="T70" s="680">
        <v>0</v>
      </c>
      <c r="U70" s="680">
        <v>0</v>
      </c>
      <c r="W70" s="684" t="s">
        <v>360</v>
      </c>
      <c r="X70" s="679">
        <v>17</v>
      </c>
      <c r="Y70" s="679">
        <v>18</v>
      </c>
      <c r="Z70" s="679">
        <v>18</v>
      </c>
      <c r="AA70" s="679">
        <v>19</v>
      </c>
      <c r="AB70" s="679">
        <f t="shared" si="3"/>
        <v>72</v>
      </c>
      <c r="AC70" s="680">
        <f t="shared" si="5"/>
        <v>0.75</v>
      </c>
    </row>
    <row r="71" spans="1:30" x14ac:dyDescent="0.2">
      <c r="A71" s="684" t="s">
        <v>367</v>
      </c>
      <c r="B71" s="679">
        <v>15</v>
      </c>
      <c r="C71" s="679">
        <v>0</v>
      </c>
      <c r="D71" s="679">
        <v>1</v>
      </c>
      <c r="E71" s="679">
        <v>16</v>
      </c>
      <c r="F71" s="679">
        <v>0</v>
      </c>
      <c r="G71" s="679">
        <v>0</v>
      </c>
      <c r="H71" s="679">
        <v>16</v>
      </c>
      <c r="I71" s="679">
        <v>0</v>
      </c>
      <c r="J71" s="679">
        <v>0</v>
      </c>
      <c r="K71" s="679">
        <v>16</v>
      </c>
      <c r="L71" s="679">
        <v>0</v>
      </c>
      <c r="M71" s="679">
        <v>0</v>
      </c>
      <c r="N71" s="679">
        <v>63</v>
      </c>
      <c r="O71" s="679">
        <v>0</v>
      </c>
      <c r="P71" s="679">
        <v>1</v>
      </c>
      <c r="Q71" s="679">
        <v>1</v>
      </c>
      <c r="R71" s="680">
        <v>98.44</v>
      </c>
      <c r="S71" s="680">
        <v>0</v>
      </c>
      <c r="T71" s="680">
        <v>1.56</v>
      </c>
      <c r="U71" s="680">
        <v>1.56</v>
      </c>
      <c r="W71" s="684" t="s">
        <v>367</v>
      </c>
      <c r="X71" s="679">
        <v>16</v>
      </c>
      <c r="Y71" s="679">
        <v>14</v>
      </c>
      <c r="Z71" s="679">
        <v>16</v>
      </c>
      <c r="AA71" s="679">
        <v>16</v>
      </c>
      <c r="AB71" s="679">
        <f t="shared" si="3"/>
        <v>62</v>
      </c>
      <c r="AC71" s="680">
        <f t="shared" si="5"/>
        <v>0.64583333333333337</v>
      </c>
    </row>
    <row r="72" spans="1:30" x14ac:dyDescent="0.2">
      <c r="A72" s="684" t="s">
        <v>377</v>
      </c>
      <c r="W72" s="684" t="s">
        <v>377</v>
      </c>
      <c r="AB72" s="679">
        <f t="shared" si="3"/>
        <v>0</v>
      </c>
      <c r="AC72" s="680">
        <f t="shared" si="5"/>
        <v>0</v>
      </c>
    </row>
    <row r="73" spans="1:30" x14ac:dyDescent="0.2">
      <c r="A73" s="684" t="s">
        <v>419</v>
      </c>
      <c r="B73" s="679">
        <v>16</v>
      </c>
      <c r="C73" s="679">
        <v>0</v>
      </c>
      <c r="D73" s="679">
        <v>0</v>
      </c>
      <c r="E73" s="679">
        <v>16</v>
      </c>
      <c r="F73" s="679">
        <v>0</v>
      </c>
      <c r="G73" s="679">
        <v>0</v>
      </c>
      <c r="H73" s="679">
        <v>16</v>
      </c>
      <c r="I73" s="679">
        <v>0</v>
      </c>
      <c r="J73" s="679">
        <v>0</v>
      </c>
      <c r="K73" s="679">
        <v>16</v>
      </c>
      <c r="L73" s="679">
        <v>0</v>
      </c>
      <c r="M73" s="679">
        <v>0</v>
      </c>
      <c r="N73" s="679">
        <v>64</v>
      </c>
      <c r="O73" s="679">
        <v>0</v>
      </c>
      <c r="P73" s="679">
        <v>0</v>
      </c>
      <c r="Q73" s="679">
        <v>0</v>
      </c>
      <c r="R73" s="680">
        <v>100</v>
      </c>
      <c r="S73" s="680">
        <v>0</v>
      </c>
      <c r="T73" s="680">
        <v>0</v>
      </c>
      <c r="U73" s="680">
        <v>0</v>
      </c>
      <c r="W73" s="684" t="s">
        <v>419</v>
      </c>
      <c r="X73" s="679">
        <v>23</v>
      </c>
      <c r="Y73" s="679">
        <v>24</v>
      </c>
      <c r="Z73" s="679">
        <v>25</v>
      </c>
      <c r="AA73" s="679">
        <v>27</v>
      </c>
      <c r="AB73" s="679">
        <f t="shared" si="3"/>
        <v>99</v>
      </c>
      <c r="AC73" s="680">
        <f t="shared" si="5"/>
        <v>1.03125</v>
      </c>
    </row>
    <row r="74" spans="1:30" x14ac:dyDescent="0.2">
      <c r="A74" s="684" t="s">
        <v>424</v>
      </c>
      <c r="W74" s="684" t="s">
        <v>424</v>
      </c>
      <c r="AB74" s="679">
        <f t="shared" si="3"/>
        <v>0</v>
      </c>
      <c r="AC74" s="680">
        <f t="shared" si="5"/>
        <v>0</v>
      </c>
    </row>
    <row r="75" spans="1:30" x14ac:dyDescent="0.2">
      <c r="A75" s="684" t="s">
        <v>443</v>
      </c>
      <c r="B75" s="679">
        <v>16</v>
      </c>
      <c r="C75" s="679">
        <v>0</v>
      </c>
      <c r="D75" s="679">
        <v>0</v>
      </c>
      <c r="E75" s="679">
        <v>16</v>
      </c>
      <c r="F75" s="679">
        <v>0</v>
      </c>
      <c r="G75" s="679">
        <v>0</v>
      </c>
      <c r="H75" s="679">
        <v>16</v>
      </c>
      <c r="I75" s="679">
        <v>0</v>
      </c>
      <c r="J75" s="679">
        <v>0</v>
      </c>
      <c r="K75" s="679">
        <v>16</v>
      </c>
      <c r="L75" s="679">
        <v>0</v>
      </c>
      <c r="M75" s="679">
        <v>0</v>
      </c>
      <c r="N75" s="679">
        <v>64</v>
      </c>
      <c r="O75" s="679">
        <v>0</v>
      </c>
      <c r="P75" s="679">
        <v>0</v>
      </c>
      <c r="Q75" s="679">
        <v>0</v>
      </c>
      <c r="R75" s="680">
        <v>100</v>
      </c>
      <c r="S75" s="680">
        <v>0</v>
      </c>
      <c r="T75" s="680">
        <v>0</v>
      </c>
      <c r="U75" s="680">
        <v>0</v>
      </c>
      <c r="W75" s="684" t="s">
        <v>443</v>
      </c>
      <c r="X75" s="679">
        <v>26</v>
      </c>
      <c r="Y75" s="679">
        <v>21</v>
      </c>
      <c r="Z75" s="679">
        <v>23</v>
      </c>
      <c r="AA75" s="679">
        <v>25</v>
      </c>
      <c r="AB75" s="679">
        <f t="shared" si="3"/>
        <v>95</v>
      </c>
      <c r="AC75" s="680">
        <f t="shared" si="5"/>
        <v>0.98958333333333337</v>
      </c>
    </row>
    <row r="76" spans="1:30" x14ac:dyDescent="0.2">
      <c r="A76" s="684" t="s">
        <v>446</v>
      </c>
      <c r="B76" s="679">
        <v>16</v>
      </c>
      <c r="C76" s="679">
        <v>0</v>
      </c>
      <c r="D76" s="679">
        <v>0</v>
      </c>
      <c r="E76" s="679">
        <v>16</v>
      </c>
      <c r="F76" s="679">
        <v>0</v>
      </c>
      <c r="G76" s="679">
        <v>0</v>
      </c>
      <c r="H76" s="679">
        <v>16</v>
      </c>
      <c r="I76" s="679">
        <v>0</v>
      </c>
      <c r="J76" s="679">
        <v>0</v>
      </c>
      <c r="K76" s="679">
        <v>16</v>
      </c>
      <c r="L76" s="679">
        <v>0</v>
      </c>
      <c r="M76" s="679">
        <v>0</v>
      </c>
      <c r="N76" s="679">
        <v>64</v>
      </c>
      <c r="O76" s="679">
        <v>0</v>
      </c>
      <c r="P76" s="679">
        <v>0</v>
      </c>
      <c r="Q76" s="679">
        <v>0</v>
      </c>
      <c r="R76" s="680">
        <v>100</v>
      </c>
      <c r="S76" s="680">
        <v>0</v>
      </c>
      <c r="T76" s="680">
        <v>0</v>
      </c>
      <c r="U76" s="680">
        <v>0</v>
      </c>
      <c r="W76" s="684" t="s">
        <v>446</v>
      </c>
      <c r="AB76" s="679">
        <f t="shared" si="3"/>
        <v>0</v>
      </c>
      <c r="AC76" s="680">
        <f t="shared" si="5"/>
        <v>0</v>
      </c>
      <c r="AD76" s="679" t="s">
        <v>826</v>
      </c>
    </row>
    <row r="77" spans="1:30" x14ac:dyDescent="0.2">
      <c r="A77" s="684" t="s">
        <v>465</v>
      </c>
      <c r="B77" s="679">
        <v>13</v>
      </c>
      <c r="C77" s="679">
        <v>0</v>
      </c>
      <c r="D77" s="679">
        <v>3</v>
      </c>
      <c r="E77" s="679">
        <v>16</v>
      </c>
      <c r="F77" s="679">
        <v>0</v>
      </c>
      <c r="G77" s="679">
        <v>0</v>
      </c>
      <c r="H77" s="679">
        <v>14</v>
      </c>
      <c r="I77" s="679">
        <v>0</v>
      </c>
      <c r="J77" s="679">
        <v>2</v>
      </c>
      <c r="K77" s="679">
        <v>16</v>
      </c>
      <c r="L77" s="679">
        <v>0</v>
      </c>
      <c r="M77" s="679">
        <v>0</v>
      </c>
      <c r="N77" s="679">
        <f>SUM(B77,E77,H77,K77)</f>
        <v>59</v>
      </c>
      <c r="O77" s="679">
        <v>0</v>
      </c>
      <c r="P77" s="679">
        <v>5</v>
      </c>
      <c r="Q77" s="679">
        <v>5</v>
      </c>
      <c r="R77" s="680">
        <f>(59/64)*100</f>
        <v>92.1875</v>
      </c>
      <c r="S77" s="680">
        <v>0</v>
      </c>
      <c r="T77" s="680">
        <f>(5/64)*100</f>
        <v>7.8125</v>
      </c>
      <c r="U77" s="680">
        <v>7.81</v>
      </c>
      <c r="W77" s="684" t="s">
        <v>465</v>
      </c>
      <c r="X77" s="679">
        <v>16</v>
      </c>
      <c r="Y77" s="679">
        <v>16</v>
      </c>
      <c r="Z77" s="679">
        <v>17</v>
      </c>
      <c r="AA77" s="679">
        <v>14</v>
      </c>
      <c r="AB77" s="679">
        <f t="shared" si="3"/>
        <v>63</v>
      </c>
      <c r="AC77" s="680">
        <f t="shared" si="5"/>
        <v>0.65625</v>
      </c>
    </row>
    <row r="78" spans="1:30" x14ac:dyDescent="0.2">
      <c r="A78" s="684" t="s">
        <v>487</v>
      </c>
      <c r="B78" s="679">
        <v>15</v>
      </c>
      <c r="C78" s="679">
        <v>1</v>
      </c>
      <c r="D78" s="679">
        <v>0</v>
      </c>
      <c r="E78" s="679">
        <v>15</v>
      </c>
      <c r="F78" s="679">
        <v>1</v>
      </c>
      <c r="G78" s="679">
        <v>0</v>
      </c>
      <c r="H78" s="679">
        <v>15</v>
      </c>
      <c r="I78" s="679">
        <v>0</v>
      </c>
      <c r="J78" s="679">
        <v>1</v>
      </c>
      <c r="K78" s="679">
        <v>16</v>
      </c>
      <c r="L78" s="679">
        <v>0</v>
      </c>
      <c r="M78" s="679">
        <v>0</v>
      </c>
      <c r="N78" s="679">
        <v>61</v>
      </c>
      <c r="O78" s="679">
        <v>2</v>
      </c>
      <c r="P78" s="679">
        <v>1</v>
      </c>
      <c r="Q78" s="679">
        <v>3</v>
      </c>
      <c r="R78" s="680">
        <f>(61/64)*100</f>
        <v>95.3125</v>
      </c>
      <c r="S78" s="680">
        <f>(2/64)*100</f>
        <v>3.125</v>
      </c>
      <c r="T78" s="680">
        <f>(1/64)*100</f>
        <v>1.5625</v>
      </c>
      <c r="U78" s="680">
        <f>(3/64)*100</f>
        <v>4.6875</v>
      </c>
      <c r="W78" s="684" t="s">
        <v>487</v>
      </c>
      <c r="X78" s="679">
        <v>18</v>
      </c>
      <c r="Y78" s="679">
        <v>20</v>
      </c>
      <c r="Z78" s="679">
        <v>19</v>
      </c>
      <c r="AA78" s="679">
        <v>20</v>
      </c>
      <c r="AB78" s="679">
        <f t="shared" si="3"/>
        <v>77</v>
      </c>
      <c r="AC78" s="680">
        <f t="shared" si="5"/>
        <v>0.80208333333333337</v>
      </c>
    </row>
    <row r="79" spans="1:30" x14ac:dyDescent="0.2">
      <c r="A79" s="684" t="s">
        <v>490</v>
      </c>
      <c r="B79" s="679">
        <v>14</v>
      </c>
      <c r="C79" s="679">
        <v>0</v>
      </c>
      <c r="D79" s="679">
        <v>2</v>
      </c>
      <c r="E79" s="679">
        <v>16</v>
      </c>
      <c r="F79" s="679">
        <v>0</v>
      </c>
      <c r="G79" s="679">
        <v>0</v>
      </c>
      <c r="H79" s="679">
        <v>16</v>
      </c>
      <c r="I79" s="679">
        <v>0</v>
      </c>
      <c r="J79" s="679">
        <v>0</v>
      </c>
      <c r="K79" s="679">
        <v>16</v>
      </c>
      <c r="L79" s="679">
        <v>0</v>
      </c>
      <c r="M79" s="679">
        <v>0</v>
      </c>
      <c r="N79" s="679">
        <v>62</v>
      </c>
      <c r="O79" s="679">
        <v>0</v>
      </c>
      <c r="P79" s="679">
        <v>2</v>
      </c>
      <c r="Q79" s="679">
        <v>2</v>
      </c>
      <c r="R79" s="680">
        <f>(62/64)*100</f>
        <v>96.875</v>
      </c>
      <c r="S79" s="680">
        <v>0</v>
      </c>
      <c r="T79" s="680">
        <f>(2/64)*100</f>
        <v>3.125</v>
      </c>
      <c r="U79" s="680">
        <f>(2/64)*100</f>
        <v>3.125</v>
      </c>
      <c r="W79" s="684" t="s">
        <v>490</v>
      </c>
      <c r="X79" s="679">
        <v>18</v>
      </c>
      <c r="Y79" s="679">
        <v>15</v>
      </c>
      <c r="Z79" s="679">
        <v>15</v>
      </c>
      <c r="AA79" s="679">
        <v>15</v>
      </c>
      <c r="AB79" s="679">
        <f t="shared" si="3"/>
        <v>63</v>
      </c>
      <c r="AC79" s="680">
        <f t="shared" si="5"/>
        <v>0.65625</v>
      </c>
    </row>
    <row r="80" spans="1:30" x14ac:dyDescent="0.2">
      <c r="A80" s="684" t="s">
        <v>498</v>
      </c>
      <c r="B80" s="679">
        <v>16</v>
      </c>
      <c r="C80" s="679">
        <v>0</v>
      </c>
      <c r="D80" s="679">
        <v>0</v>
      </c>
      <c r="E80" s="679">
        <v>16</v>
      </c>
      <c r="F80" s="679">
        <v>0</v>
      </c>
      <c r="G80" s="679">
        <v>0</v>
      </c>
      <c r="H80" s="679">
        <v>16</v>
      </c>
      <c r="I80" s="679">
        <v>0</v>
      </c>
      <c r="J80" s="679">
        <v>0</v>
      </c>
      <c r="K80" s="679">
        <v>16</v>
      </c>
      <c r="L80" s="679">
        <v>0</v>
      </c>
      <c r="M80" s="679">
        <v>0</v>
      </c>
      <c r="N80" s="679">
        <v>64</v>
      </c>
      <c r="O80" s="679">
        <v>0</v>
      </c>
      <c r="P80" s="679">
        <v>0</v>
      </c>
      <c r="Q80" s="679">
        <v>0</v>
      </c>
      <c r="R80" s="680">
        <f>(64/64)*100</f>
        <v>100</v>
      </c>
      <c r="S80" s="680">
        <v>0</v>
      </c>
      <c r="T80" s="680">
        <v>0</v>
      </c>
      <c r="U80" s="680">
        <v>0</v>
      </c>
      <c r="W80" s="684" t="s">
        <v>498</v>
      </c>
      <c r="X80" s="679">
        <v>17</v>
      </c>
      <c r="Y80" s="679">
        <v>18</v>
      </c>
      <c r="Z80" s="679">
        <v>19</v>
      </c>
      <c r="AA80" s="679">
        <v>20</v>
      </c>
      <c r="AB80" s="679">
        <f t="shared" si="3"/>
        <v>74</v>
      </c>
      <c r="AC80" s="680">
        <f t="shared" si="5"/>
        <v>0.77083333333333337</v>
      </c>
    </row>
    <row r="81" spans="1:29" x14ac:dyDescent="0.2">
      <c r="A81" s="684" t="s">
        <v>509</v>
      </c>
      <c r="B81" s="679">
        <v>15</v>
      </c>
      <c r="C81" s="679">
        <v>0</v>
      </c>
      <c r="D81" s="679">
        <v>1</v>
      </c>
      <c r="E81" s="679">
        <v>16</v>
      </c>
      <c r="F81" s="679">
        <v>0</v>
      </c>
      <c r="G81" s="679">
        <v>0</v>
      </c>
      <c r="H81" s="679">
        <v>16</v>
      </c>
      <c r="I81" s="679">
        <v>0</v>
      </c>
      <c r="J81" s="679">
        <v>0</v>
      </c>
      <c r="K81" s="679">
        <v>16</v>
      </c>
      <c r="L81" s="679">
        <v>0</v>
      </c>
      <c r="M81" s="679">
        <v>0</v>
      </c>
      <c r="N81" s="679">
        <f>SUM(B81,E81,H81,K81)</f>
        <v>63</v>
      </c>
      <c r="O81" s="679">
        <v>0</v>
      </c>
      <c r="P81" s="679">
        <v>1</v>
      </c>
      <c r="Q81" s="679">
        <v>1</v>
      </c>
      <c r="R81" s="680">
        <f>(63/64)*100</f>
        <v>98.4375</v>
      </c>
      <c r="S81" s="680">
        <v>0</v>
      </c>
      <c r="T81" s="680">
        <f>(1/64)*100</f>
        <v>1.5625</v>
      </c>
      <c r="U81" s="680">
        <f>T81</f>
        <v>1.5625</v>
      </c>
      <c r="W81" s="684" t="s">
        <v>509</v>
      </c>
      <c r="X81" s="679">
        <v>11</v>
      </c>
      <c r="Y81" s="679">
        <v>10</v>
      </c>
      <c r="Z81" s="679">
        <v>10</v>
      </c>
      <c r="AA81" s="679">
        <v>10</v>
      </c>
      <c r="AB81" s="679">
        <f t="shared" si="3"/>
        <v>41</v>
      </c>
      <c r="AC81" s="680">
        <f t="shared" si="5"/>
        <v>0.42708333333333331</v>
      </c>
    </row>
    <row r="82" spans="1:29" x14ac:dyDescent="0.2">
      <c r="A82" s="684" t="s">
        <v>513</v>
      </c>
      <c r="B82" s="679">
        <v>16</v>
      </c>
      <c r="C82" s="679">
        <v>0</v>
      </c>
      <c r="D82" s="679">
        <v>0</v>
      </c>
      <c r="E82" s="679">
        <v>14</v>
      </c>
      <c r="F82" s="679">
        <v>2</v>
      </c>
      <c r="G82" s="679">
        <v>0</v>
      </c>
      <c r="H82" s="679">
        <v>16</v>
      </c>
      <c r="I82" s="679">
        <v>0</v>
      </c>
      <c r="J82" s="679">
        <v>0</v>
      </c>
      <c r="K82" s="679">
        <v>16</v>
      </c>
      <c r="L82" s="679">
        <v>0</v>
      </c>
      <c r="M82" s="679">
        <v>0</v>
      </c>
      <c r="N82" s="679">
        <v>62</v>
      </c>
      <c r="O82" s="679">
        <v>2</v>
      </c>
      <c r="P82" s="679">
        <v>0</v>
      </c>
      <c r="Q82" s="679">
        <v>2</v>
      </c>
      <c r="R82" s="680">
        <f>(62/64)*100</f>
        <v>96.875</v>
      </c>
      <c r="S82" s="680">
        <f>(2/64)*100</f>
        <v>3.125</v>
      </c>
      <c r="T82" s="680">
        <v>0</v>
      </c>
      <c r="U82" s="680">
        <f>(2/64)*100</f>
        <v>3.125</v>
      </c>
      <c r="W82" s="684" t="s">
        <v>513</v>
      </c>
      <c r="X82" s="679">
        <v>31</v>
      </c>
      <c r="Y82" s="679">
        <v>31</v>
      </c>
      <c r="Z82" s="679">
        <v>33</v>
      </c>
      <c r="AA82" s="679">
        <v>36</v>
      </c>
      <c r="AB82" s="679">
        <f t="shared" si="3"/>
        <v>131</v>
      </c>
      <c r="AC82" s="680">
        <f t="shared" si="5"/>
        <v>1.3645833333333333</v>
      </c>
    </row>
    <row r="83" spans="1:29" x14ac:dyDescent="0.2">
      <c r="A83" s="684" t="s">
        <v>522</v>
      </c>
      <c r="W83" s="684" t="s">
        <v>522</v>
      </c>
      <c r="AB83" s="679">
        <f t="shared" si="3"/>
        <v>0</v>
      </c>
      <c r="AC83" s="680">
        <f t="shared" si="5"/>
        <v>0</v>
      </c>
    </row>
    <row r="84" spans="1:29" x14ac:dyDescent="0.2">
      <c r="A84" s="684" t="s">
        <v>593</v>
      </c>
      <c r="B84" s="679">
        <v>16</v>
      </c>
      <c r="C84" s="679">
        <v>0</v>
      </c>
      <c r="D84" s="679">
        <v>0</v>
      </c>
      <c r="E84" s="679">
        <v>16</v>
      </c>
      <c r="F84" s="679">
        <v>0</v>
      </c>
      <c r="G84" s="679">
        <v>0</v>
      </c>
      <c r="H84" s="679">
        <v>15</v>
      </c>
      <c r="I84" s="679">
        <v>0</v>
      </c>
      <c r="J84" s="679">
        <v>1</v>
      </c>
      <c r="K84" s="679">
        <v>13</v>
      </c>
      <c r="L84" s="679">
        <v>0</v>
      </c>
      <c r="M84" s="679">
        <v>3</v>
      </c>
      <c r="N84" s="679">
        <f>SUM(B84+E84+H84+K84)</f>
        <v>60</v>
      </c>
      <c r="O84" s="679">
        <v>0</v>
      </c>
      <c r="P84" s="679">
        <v>4</v>
      </c>
      <c r="Q84" s="679">
        <v>4</v>
      </c>
      <c r="R84" s="680">
        <f>(60/64)*100</f>
        <v>93.75</v>
      </c>
      <c r="S84" s="680">
        <v>0</v>
      </c>
      <c r="T84" s="680">
        <f>(4/64)*100</f>
        <v>6.25</v>
      </c>
      <c r="U84" s="680">
        <v>6.25</v>
      </c>
      <c r="W84" s="684" t="s">
        <v>593</v>
      </c>
      <c r="X84" s="679">
        <v>17</v>
      </c>
      <c r="Y84" s="679">
        <v>16</v>
      </c>
      <c r="Z84" s="679">
        <v>16</v>
      </c>
      <c r="AA84" s="679">
        <v>17</v>
      </c>
      <c r="AB84" s="679">
        <f t="shared" si="3"/>
        <v>66</v>
      </c>
      <c r="AC84" s="680">
        <f t="shared" si="5"/>
        <v>0.6875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CA85"/>
  <sheetViews>
    <sheetView topLeftCell="D1" zoomScale="95" zoomScaleNormal="95" zoomScalePageLayoutView="95" workbookViewId="0">
      <pane ySplit="3" topLeftCell="A66" activePane="bottomLeft" state="frozen"/>
      <selection activeCell="B71" sqref="B71"/>
      <selection pane="bottomLeft" activeCell="S70" sqref="S70"/>
    </sheetView>
  </sheetViews>
  <sheetFormatPr baseColWidth="10" defaultColWidth="8.83203125" defaultRowHeight="15" x14ac:dyDescent="0.2"/>
  <cols>
    <col min="1" max="2" width="12.1640625" style="2" customWidth="1"/>
    <col min="3" max="39" width="12.1640625" style="550" customWidth="1"/>
    <col min="40" max="40" width="14.5" style="2" bestFit="1" customWidth="1"/>
    <col min="41" max="41" width="14.83203125" style="69" customWidth="1"/>
    <col min="42" max="42" width="20.5" style="69" bestFit="1" customWidth="1"/>
    <col min="43" max="43" width="17.83203125" style="69" bestFit="1" customWidth="1"/>
    <col min="44" max="44" width="12.1640625" style="68" customWidth="1"/>
    <col min="45" max="46" width="28.1640625" style="68" bestFit="1" customWidth="1"/>
    <col min="47" max="49" width="12.1640625" style="69" customWidth="1"/>
    <col min="50" max="50" width="12.1640625" style="68" customWidth="1"/>
    <col min="51" max="51" width="28.5" style="68" bestFit="1" customWidth="1"/>
    <col min="52" max="52" width="28.33203125" style="68" bestFit="1" customWidth="1"/>
    <col min="53" max="53" width="12.1640625" style="69" customWidth="1"/>
    <col min="54" max="54" width="20.5" style="69" bestFit="1" customWidth="1"/>
    <col min="55" max="55" width="17.83203125" style="69" bestFit="1" customWidth="1"/>
    <col min="56" max="56" width="13.83203125" style="25" customWidth="1"/>
    <col min="57" max="57" width="27.6640625" style="25" bestFit="1" customWidth="1"/>
    <col min="58" max="58" width="27.5" style="37" customWidth="1"/>
    <col min="59" max="59" width="4.1640625" style="74" customWidth="1"/>
    <col min="60" max="60" width="11.83203125" style="31" customWidth="1"/>
    <col min="61" max="61" width="20.5" style="31" bestFit="1" customWidth="1"/>
    <col min="62" max="62" width="17.83203125" style="31" bestFit="1" customWidth="1"/>
    <col min="63" max="63" width="10.6640625" style="25" bestFit="1" customWidth="1"/>
    <col min="64" max="65" width="28.1640625" style="25" bestFit="1" customWidth="1"/>
    <col min="66" max="66" width="12.33203125" style="239" bestFit="1" customWidth="1"/>
    <col min="67" max="67" width="20.5" style="239" bestFit="1" customWidth="1"/>
    <col min="68" max="68" width="17.83203125" style="239" bestFit="1" customWidth="1"/>
    <col min="69" max="69" width="10.6640625" style="25" bestFit="1" customWidth="1"/>
    <col min="70" max="71" width="28.1640625" style="25" bestFit="1" customWidth="1"/>
    <col min="72" max="72" width="14.33203125" style="33" customWidth="1"/>
    <col min="73" max="73" width="20.5" style="31" bestFit="1" customWidth="1"/>
    <col min="74" max="74" width="17.83203125" style="31" bestFit="1" customWidth="1"/>
    <col min="75" max="75" width="12.5" style="72" customWidth="1"/>
    <col min="76" max="76" width="28.1640625" style="25" customWidth="1"/>
    <col min="77" max="77" width="28.83203125" style="25" customWidth="1"/>
    <col min="78" max="78" width="8.83203125" style="16"/>
  </cols>
  <sheetData>
    <row r="1" spans="1:79" ht="31" x14ac:dyDescent="0.35">
      <c r="A1" s="258"/>
      <c r="B1" s="59"/>
      <c r="C1" s="34" t="s">
        <v>71</v>
      </c>
      <c r="D1" s="117"/>
      <c r="E1" s="117"/>
      <c r="F1" s="65"/>
      <c r="G1" s="65"/>
      <c r="H1" s="65"/>
      <c r="I1" s="117"/>
      <c r="J1" s="117"/>
      <c r="K1" s="117"/>
      <c r="L1" s="65"/>
      <c r="M1" s="65"/>
      <c r="N1" s="65"/>
      <c r="O1" s="117"/>
      <c r="P1" s="117"/>
      <c r="Q1" s="117"/>
      <c r="R1" s="35"/>
      <c r="S1" s="35"/>
      <c r="T1" s="35"/>
      <c r="U1" s="66"/>
      <c r="V1" s="75" t="s">
        <v>72</v>
      </c>
      <c r="W1" s="30"/>
      <c r="X1" s="30"/>
      <c r="Y1" s="35"/>
      <c r="Z1" s="35"/>
      <c r="AA1" s="35"/>
      <c r="AB1" s="116"/>
      <c r="AC1" s="116"/>
      <c r="AD1" s="116"/>
      <c r="AE1" s="35"/>
      <c r="AF1" s="35"/>
      <c r="AG1" s="35"/>
      <c r="AH1" s="30"/>
      <c r="AI1" s="30"/>
      <c r="AJ1" s="30"/>
      <c r="AK1" s="35"/>
      <c r="AL1" s="35"/>
      <c r="AM1" s="35"/>
      <c r="AN1" s="59"/>
      <c r="AO1" s="34" t="s">
        <v>71</v>
      </c>
      <c r="AP1" s="117"/>
      <c r="AQ1" s="117"/>
      <c r="AR1" s="65"/>
      <c r="AS1" s="65"/>
      <c r="AT1" s="65"/>
      <c r="AU1" s="117"/>
      <c r="AV1" s="117"/>
      <c r="AW1" s="117"/>
      <c r="AX1" s="65"/>
      <c r="AY1" s="65"/>
      <c r="AZ1" s="65"/>
      <c r="BA1" s="117"/>
      <c r="BB1" s="117"/>
      <c r="BC1" s="117"/>
      <c r="BD1" s="35"/>
      <c r="BE1" s="35"/>
      <c r="BF1" s="35"/>
      <c r="BG1" s="66"/>
      <c r="BH1" s="75" t="s">
        <v>72</v>
      </c>
      <c r="BI1" s="30"/>
      <c r="BJ1" s="30"/>
      <c r="BK1" s="35"/>
      <c r="BL1" s="35"/>
      <c r="BM1" s="35"/>
      <c r="BN1" s="116"/>
      <c r="BO1" s="116"/>
      <c r="BP1" s="116"/>
      <c r="BQ1" s="35"/>
      <c r="BR1" s="35"/>
      <c r="BS1" s="35"/>
      <c r="BT1" s="30"/>
      <c r="BU1" s="30"/>
      <c r="BV1" s="30"/>
      <c r="BW1" s="35"/>
      <c r="BX1" s="35"/>
      <c r="BY1" s="35"/>
    </row>
    <row r="2" spans="1:79" ht="31" x14ac:dyDescent="0.35">
      <c r="A2" s="258"/>
      <c r="B2" s="59"/>
      <c r="C2" s="34" t="s">
        <v>118</v>
      </c>
      <c r="D2" s="117"/>
      <c r="E2" s="117"/>
      <c r="F2" s="65"/>
      <c r="G2" s="65"/>
      <c r="H2" s="65"/>
      <c r="I2" s="34" t="s">
        <v>119</v>
      </c>
      <c r="J2" s="117"/>
      <c r="K2" s="117"/>
      <c r="L2" s="65"/>
      <c r="M2" s="65"/>
      <c r="N2" s="65"/>
      <c r="O2" s="34" t="s">
        <v>70</v>
      </c>
      <c r="P2" s="117"/>
      <c r="Q2" s="117"/>
      <c r="R2" s="35"/>
      <c r="S2" s="35"/>
      <c r="T2" s="35"/>
      <c r="U2" s="74"/>
      <c r="V2" s="34" t="s">
        <v>118</v>
      </c>
      <c r="W2" s="30"/>
      <c r="X2" s="30"/>
      <c r="Y2" s="35"/>
      <c r="Z2" s="35"/>
      <c r="AA2" s="35"/>
      <c r="AB2" s="34" t="s">
        <v>119</v>
      </c>
      <c r="AC2" s="116"/>
      <c r="AD2" s="116"/>
      <c r="AE2" s="35"/>
      <c r="AF2" s="35"/>
      <c r="AG2" s="35"/>
      <c r="AH2" s="34" t="s">
        <v>70</v>
      </c>
      <c r="AI2" s="30"/>
      <c r="AJ2" s="30"/>
      <c r="AK2" s="35"/>
      <c r="AL2" s="35"/>
      <c r="AM2" s="35"/>
      <c r="AN2" s="59"/>
      <c r="AO2" s="34" t="s">
        <v>118</v>
      </c>
      <c r="AP2" s="117"/>
      <c r="AQ2" s="117"/>
      <c r="AR2" s="65"/>
      <c r="AS2" s="65"/>
      <c r="AT2" s="65"/>
      <c r="AU2" s="34" t="s">
        <v>119</v>
      </c>
      <c r="AV2" s="117"/>
      <c r="AW2" s="117"/>
      <c r="AX2" s="65"/>
      <c r="AY2" s="65"/>
      <c r="AZ2" s="65"/>
      <c r="BA2" s="34" t="s">
        <v>70</v>
      </c>
      <c r="BB2" s="117"/>
      <c r="BC2" s="117"/>
      <c r="BD2" s="35"/>
      <c r="BE2" s="35"/>
      <c r="BF2" s="35"/>
      <c r="BH2" s="34" t="s">
        <v>118</v>
      </c>
      <c r="BI2" s="30"/>
      <c r="BJ2" s="30"/>
      <c r="BK2" s="35"/>
      <c r="BL2" s="35"/>
      <c r="BM2" s="35"/>
      <c r="BN2" s="34" t="s">
        <v>119</v>
      </c>
      <c r="BO2" s="116"/>
      <c r="BP2" s="116"/>
      <c r="BQ2" s="35"/>
      <c r="BR2" s="35"/>
      <c r="BS2" s="35"/>
      <c r="BT2" s="34" t="s">
        <v>70</v>
      </c>
      <c r="BU2" s="30"/>
      <c r="BV2" s="30"/>
      <c r="BW2" s="35"/>
      <c r="BX2" s="35"/>
      <c r="BY2" s="35"/>
    </row>
    <row r="3" spans="1:79" s="29" customFormat="1" x14ac:dyDescent="0.2">
      <c r="A3" s="2" t="s">
        <v>35</v>
      </c>
      <c r="B3" s="2" t="s">
        <v>66</v>
      </c>
      <c r="C3" s="235" t="s">
        <v>63</v>
      </c>
      <c r="D3" s="235" t="s">
        <v>64</v>
      </c>
      <c r="E3" s="235" t="s">
        <v>65</v>
      </c>
      <c r="F3" s="61" t="s">
        <v>33</v>
      </c>
      <c r="G3" s="61" t="s">
        <v>62</v>
      </c>
      <c r="H3" s="62" t="s">
        <v>61</v>
      </c>
      <c r="I3" s="235" t="s">
        <v>63</v>
      </c>
      <c r="J3" s="235" t="s">
        <v>64</v>
      </c>
      <c r="K3" s="235" t="s">
        <v>65</v>
      </c>
      <c r="L3" s="61" t="s">
        <v>33</v>
      </c>
      <c r="M3" s="61" t="s">
        <v>62</v>
      </c>
      <c r="N3" s="62" t="s">
        <v>61</v>
      </c>
      <c r="O3" s="235" t="s">
        <v>63</v>
      </c>
      <c r="P3" s="235" t="s">
        <v>64</v>
      </c>
      <c r="Q3" s="235" t="s">
        <v>65</v>
      </c>
      <c r="R3" s="76" t="s">
        <v>33</v>
      </c>
      <c r="S3" s="61" t="s">
        <v>62</v>
      </c>
      <c r="T3" s="62" t="s">
        <v>61</v>
      </c>
      <c r="U3" s="77"/>
      <c r="V3" s="78" t="s">
        <v>63</v>
      </c>
      <c r="W3" s="67" t="s">
        <v>64</v>
      </c>
      <c r="X3" s="67" t="s">
        <v>65</v>
      </c>
      <c r="Y3" s="63" t="s">
        <v>33</v>
      </c>
      <c r="Z3" s="61" t="s">
        <v>62</v>
      </c>
      <c r="AA3" s="62" t="s">
        <v>61</v>
      </c>
      <c r="AB3" s="240" t="s">
        <v>63</v>
      </c>
      <c r="AC3" s="235" t="s">
        <v>64</v>
      </c>
      <c r="AD3" s="235" t="s">
        <v>65</v>
      </c>
      <c r="AE3" s="63" t="s">
        <v>33</v>
      </c>
      <c r="AF3" s="61" t="s">
        <v>62</v>
      </c>
      <c r="AG3" s="62" t="s">
        <v>61</v>
      </c>
      <c r="AH3" s="79" t="s">
        <v>63</v>
      </c>
      <c r="AI3" s="80" t="s">
        <v>64</v>
      </c>
      <c r="AJ3" s="80" t="s">
        <v>65</v>
      </c>
      <c r="AK3" s="63" t="s">
        <v>33</v>
      </c>
      <c r="AL3" s="76" t="s">
        <v>62</v>
      </c>
      <c r="AM3" s="62" t="s">
        <v>61</v>
      </c>
      <c r="AN3" s="2" t="s">
        <v>66</v>
      </c>
      <c r="AO3" s="235" t="s">
        <v>63</v>
      </c>
      <c r="AP3" s="235" t="s">
        <v>64</v>
      </c>
      <c r="AQ3" s="235" t="s">
        <v>65</v>
      </c>
      <c r="AR3" s="61" t="s">
        <v>33</v>
      </c>
      <c r="AS3" s="61" t="s">
        <v>62</v>
      </c>
      <c r="AT3" s="62" t="s">
        <v>61</v>
      </c>
      <c r="AU3" s="235" t="s">
        <v>63</v>
      </c>
      <c r="AV3" s="235" t="s">
        <v>64</v>
      </c>
      <c r="AW3" s="235" t="s">
        <v>65</v>
      </c>
      <c r="AX3" s="61" t="s">
        <v>33</v>
      </c>
      <c r="AY3" s="61" t="s">
        <v>62</v>
      </c>
      <c r="AZ3" s="62" t="s">
        <v>61</v>
      </c>
      <c r="BA3" s="235" t="s">
        <v>63</v>
      </c>
      <c r="BB3" s="235" t="s">
        <v>64</v>
      </c>
      <c r="BC3" s="235" t="s">
        <v>65</v>
      </c>
      <c r="BD3" s="76" t="s">
        <v>33</v>
      </c>
      <c r="BE3" s="61" t="s">
        <v>62</v>
      </c>
      <c r="BF3" s="62" t="s">
        <v>61</v>
      </c>
      <c r="BG3" s="77"/>
      <c r="BH3" s="78" t="s">
        <v>63</v>
      </c>
      <c r="BI3" s="67" t="s">
        <v>64</v>
      </c>
      <c r="BJ3" s="67" t="s">
        <v>65</v>
      </c>
      <c r="BK3" s="63" t="s">
        <v>33</v>
      </c>
      <c r="BL3" s="61" t="s">
        <v>62</v>
      </c>
      <c r="BM3" s="62" t="s">
        <v>61</v>
      </c>
      <c r="BN3" s="240" t="s">
        <v>63</v>
      </c>
      <c r="BO3" s="235" t="s">
        <v>64</v>
      </c>
      <c r="BP3" s="235" t="s">
        <v>65</v>
      </c>
      <c r="BQ3" s="63" t="s">
        <v>33</v>
      </c>
      <c r="BR3" s="61" t="s">
        <v>62</v>
      </c>
      <c r="BS3" s="62" t="s">
        <v>61</v>
      </c>
      <c r="BT3" s="79" t="s">
        <v>63</v>
      </c>
      <c r="BU3" s="80" t="s">
        <v>64</v>
      </c>
      <c r="BV3" s="80" t="s">
        <v>65</v>
      </c>
      <c r="BW3" s="63" t="s">
        <v>33</v>
      </c>
      <c r="BX3" s="76" t="s">
        <v>62</v>
      </c>
      <c r="BY3" s="62" t="s">
        <v>61</v>
      </c>
    </row>
    <row r="4" spans="1:79" x14ac:dyDescent="0.2">
      <c r="A4" s="2" t="s">
        <v>44</v>
      </c>
      <c r="B4" s="60" t="s">
        <v>67</v>
      </c>
      <c r="C4" s="555">
        <v>33</v>
      </c>
      <c r="D4" s="555">
        <v>4</v>
      </c>
      <c r="E4" s="555">
        <v>5</v>
      </c>
      <c r="F4" s="550">
        <v>78.571428571428569</v>
      </c>
      <c r="G4" s="550">
        <v>761.66666666666663</v>
      </c>
      <c r="H4" s="550">
        <v>1080.75</v>
      </c>
      <c r="I4" s="555">
        <v>41</v>
      </c>
      <c r="J4" s="555">
        <v>1</v>
      </c>
      <c r="K4" s="555">
        <v>0</v>
      </c>
      <c r="L4" s="550">
        <v>97.619047619047635</v>
      </c>
      <c r="M4" s="550">
        <v>828.08333333333337</v>
      </c>
      <c r="N4" s="550">
        <v>85</v>
      </c>
      <c r="O4" s="555">
        <v>74</v>
      </c>
      <c r="P4" s="555">
        <v>5</v>
      </c>
      <c r="Q4" s="555">
        <v>5</v>
      </c>
      <c r="R4" s="550">
        <v>88.095238095238102</v>
      </c>
      <c r="S4" s="550">
        <v>794.875</v>
      </c>
      <c r="T4" s="550">
        <v>582.875</v>
      </c>
      <c r="U4" s="555"/>
      <c r="V4" s="555">
        <v>36</v>
      </c>
      <c r="W4" s="555">
        <v>2</v>
      </c>
      <c r="X4" s="555">
        <v>4</v>
      </c>
      <c r="Y4" s="550">
        <v>85.714285714285708</v>
      </c>
      <c r="Z4" s="550">
        <v>856.91666666666663</v>
      </c>
      <c r="AA4" s="550">
        <v>271.5</v>
      </c>
      <c r="AB4" s="555">
        <v>38</v>
      </c>
      <c r="AC4" s="555">
        <v>2</v>
      </c>
      <c r="AD4" s="555">
        <v>2</v>
      </c>
      <c r="AE4" s="550">
        <v>90.476190476190482</v>
      </c>
      <c r="AF4" s="550">
        <v>889.19444444444446</v>
      </c>
      <c r="AG4" s="550">
        <v>764.5</v>
      </c>
      <c r="AH4" s="555">
        <v>74</v>
      </c>
      <c r="AI4" s="555">
        <v>4</v>
      </c>
      <c r="AJ4" s="555">
        <v>6</v>
      </c>
      <c r="AK4" s="550">
        <v>88.095238095238102</v>
      </c>
      <c r="AL4" s="550">
        <v>873.05555555555554</v>
      </c>
      <c r="AM4" s="550">
        <v>518</v>
      </c>
      <c r="AN4" s="60" t="s">
        <v>67</v>
      </c>
      <c r="AO4" s="64">
        <v>38</v>
      </c>
      <c r="AP4" s="64">
        <v>3</v>
      </c>
      <c r="AQ4" s="64">
        <v>1</v>
      </c>
      <c r="AR4" s="81">
        <v>90.476190476190482</v>
      </c>
      <c r="AS4" s="81">
        <v>647.1388888888888</v>
      </c>
      <c r="AT4" s="81">
        <v>1277</v>
      </c>
      <c r="AU4" s="82">
        <v>41</v>
      </c>
      <c r="AV4" s="82">
        <v>1</v>
      </c>
      <c r="AW4" s="83">
        <v>0</v>
      </c>
      <c r="AX4" s="237">
        <v>97.619047619047635</v>
      </c>
      <c r="AY4" s="237">
        <v>630.83333333333337</v>
      </c>
      <c r="AZ4" s="237">
        <v>1189</v>
      </c>
      <c r="BA4" s="64">
        <v>79</v>
      </c>
      <c r="BB4" s="64">
        <v>4</v>
      </c>
      <c r="BC4" s="64">
        <v>1</v>
      </c>
      <c r="BD4" s="70">
        <v>94.047619047619051</v>
      </c>
      <c r="BE4" s="70">
        <v>638.98611111111109</v>
      </c>
      <c r="BF4" s="71">
        <v>1277</v>
      </c>
      <c r="BH4" s="31">
        <v>36</v>
      </c>
      <c r="BI4" s="31">
        <v>4</v>
      </c>
      <c r="BJ4" s="31">
        <v>2</v>
      </c>
      <c r="BK4" s="25">
        <v>85.714285714285708</v>
      </c>
      <c r="BL4" s="25">
        <v>918.66666666666663</v>
      </c>
      <c r="BM4" s="25">
        <v>479.75</v>
      </c>
      <c r="BN4" s="239">
        <v>39</v>
      </c>
      <c r="BO4" s="239">
        <v>3</v>
      </c>
      <c r="BP4" s="239">
        <v>0</v>
      </c>
      <c r="BQ4" s="25">
        <v>92.857142857142847</v>
      </c>
      <c r="BR4" s="25">
        <v>705.66666666666663</v>
      </c>
      <c r="BS4" s="25">
        <v>1144</v>
      </c>
      <c r="BT4" s="33">
        <v>75</v>
      </c>
      <c r="BU4" s="31">
        <v>7</v>
      </c>
      <c r="BV4" s="32">
        <v>2</v>
      </c>
      <c r="BW4" s="73">
        <v>89.285714285714292</v>
      </c>
      <c r="BX4" s="70">
        <v>812.16666666666663</v>
      </c>
      <c r="BY4" s="70">
        <v>811.875</v>
      </c>
    </row>
    <row r="5" spans="1:79" x14ac:dyDescent="0.2">
      <c r="A5" s="2" t="s">
        <v>45</v>
      </c>
      <c r="B5" s="2" t="s">
        <v>68</v>
      </c>
      <c r="C5" s="564">
        <v>31</v>
      </c>
      <c r="D5" s="564">
        <v>1</v>
      </c>
      <c r="E5" s="564">
        <v>10</v>
      </c>
      <c r="F5" s="550">
        <v>73.80952380952381</v>
      </c>
      <c r="G5" s="550">
        <v>407.5</v>
      </c>
      <c r="H5" s="550">
        <v>378</v>
      </c>
      <c r="I5" s="564">
        <v>41</v>
      </c>
      <c r="J5" s="564">
        <v>1</v>
      </c>
      <c r="K5" s="564">
        <v>0</v>
      </c>
      <c r="L5" s="550">
        <v>97.619047619047635</v>
      </c>
      <c r="M5" s="550">
        <v>480.91666666666669</v>
      </c>
      <c r="N5" s="550">
        <v>1207</v>
      </c>
      <c r="O5" s="564">
        <v>72</v>
      </c>
      <c r="P5" s="564">
        <v>2</v>
      </c>
      <c r="Q5" s="564">
        <v>10</v>
      </c>
      <c r="R5" s="550">
        <v>85.714285714285722</v>
      </c>
      <c r="S5" s="550">
        <v>444.20833333333337</v>
      </c>
      <c r="T5" s="550">
        <v>792.5</v>
      </c>
      <c r="U5" s="564"/>
      <c r="V5" s="564">
        <v>31</v>
      </c>
      <c r="W5" s="564">
        <v>0</v>
      </c>
      <c r="X5" s="564">
        <v>11</v>
      </c>
      <c r="Y5" s="550">
        <v>73.80952380952381</v>
      </c>
      <c r="Z5" s="550">
        <v>606</v>
      </c>
      <c r="AA5" s="550">
        <v>0</v>
      </c>
      <c r="AB5" s="564">
        <v>42</v>
      </c>
      <c r="AC5" s="564">
        <v>0</v>
      </c>
      <c r="AD5" s="564">
        <v>0</v>
      </c>
      <c r="AE5" s="550">
        <v>100</v>
      </c>
      <c r="AF5" s="550">
        <v>466.83333333333331</v>
      </c>
      <c r="AG5" s="550">
        <v>0</v>
      </c>
      <c r="AH5" s="564">
        <v>73</v>
      </c>
      <c r="AI5" s="564">
        <v>0</v>
      </c>
      <c r="AJ5" s="564">
        <v>11</v>
      </c>
      <c r="AK5" s="550">
        <v>86.904761904761898</v>
      </c>
      <c r="AL5" s="550">
        <v>536.41666666666663</v>
      </c>
      <c r="AM5" s="550">
        <v>0</v>
      </c>
      <c r="AN5" s="2" t="s">
        <v>68</v>
      </c>
      <c r="AO5" s="69">
        <v>42</v>
      </c>
      <c r="AP5" s="69">
        <v>0</v>
      </c>
      <c r="AQ5" s="69">
        <v>0</v>
      </c>
      <c r="AR5" s="68">
        <v>100</v>
      </c>
      <c r="AS5" s="68">
        <v>460.83333333333331</v>
      </c>
      <c r="AT5" s="68">
        <v>0</v>
      </c>
      <c r="AU5" s="69">
        <v>42</v>
      </c>
      <c r="AV5" s="69">
        <v>0</v>
      </c>
      <c r="AW5" s="69">
        <v>0</v>
      </c>
      <c r="AX5" s="68">
        <v>100</v>
      </c>
      <c r="AY5" s="68">
        <v>481.41666666666669</v>
      </c>
      <c r="AZ5" s="68">
        <v>0</v>
      </c>
      <c r="BA5" s="69">
        <v>84</v>
      </c>
      <c r="BB5" s="69">
        <v>0</v>
      </c>
      <c r="BC5" s="69">
        <v>0</v>
      </c>
      <c r="BD5" s="25">
        <v>100</v>
      </c>
      <c r="BE5" s="25">
        <v>471.125</v>
      </c>
      <c r="BF5" s="37">
        <v>0</v>
      </c>
      <c r="BH5" s="31">
        <v>38</v>
      </c>
      <c r="BI5" s="31">
        <v>1</v>
      </c>
      <c r="BJ5" s="31">
        <v>3</v>
      </c>
      <c r="BK5" s="25">
        <v>90.476190476190482</v>
      </c>
      <c r="BL5" s="25">
        <v>640.55555555555554</v>
      </c>
      <c r="BM5" s="25">
        <v>1489</v>
      </c>
      <c r="BN5" s="239">
        <v>37</v>
      </c>
      <c r="BO5" s="239">
        <v>0</v>
      </c>
      <c r="BP5" s="239">
        <v>5</v>
      </c>
      <c r="BQ5" s="25">
        <v>88.095238095238088</v>
      </c>
      <c r="BR5" s="25">
        <v>490.33333333333331</v>
      </c>
      <c r="BS5" s="25">
        <v>0</v>
      </c>
      <c r="BT5" s="33">
        <v>75</v>
      </c>
      <c r="BU5" s="31">
        <v>1</v>
      </c>
      <c r="BV5" s="31">
        <v>8</v>
      </c>
      <c r="BW5" s="72">
        <v>89.285714285714278</v>
      </c>
      <c r="BX5" s="25">
        <v>565.44444444444446</v>
      </c>
      <c r="BY5" s="25">
        <v>1489</v>
      </c>
      <c r="BZ5" s="17"/>
      <c r="CA5" s="1"/>
    </row>
    <row r="6" spans="1:79" x14ac:dyDescent="0.2">
      <c r="A6" s="2" t="s">
        <v>46</v>
      </c>
      <c r="B6" s="2" t="s">
        <v>68</v>
      </c>
      <c r="C6" s="564">
        <v>41</v>
      </c>
      <c r="D6" s="564">
        <v>0</v>
      </c>
      <c r="E6" s="564">
        <v>1</v>
      </c>
      <c r="F6" s="550">
        <v>97.619047619047635</v>
      </c>
      <c r="G6" s="550">
        <v>753.47222222222229</v>
      </c>
      <c r="H6" s="550">
        <v>0</v>
      </c>
      <c r="I6" s="564">
        <v>41</v>
      </c>
      <c r="J6" s="564">
        <v>0</v>
      </c>
      <c r="K6" s="564">
        <v>1</v>
      </c>
      <c r="L6" s="550">
        <v>97.619047619047635</v>
      </c>
      <c r="M6" s="550">
        <v>788.66666666666663</v>
      </c>
      <c r="N6" s="550">
        <v>0</v>
      </c>
      <c r="O6" s="564">
        <v>82</v>
      </c>
      <c r="P6" s="564">
        <v>0</v>
      </c>
      <c r="Q6" s="564">
        <v>2</v>
      </c>
      <c r="R6" s="550">
        <v>97.619047619047635</v>
      </c>
      <c r="S6" s="550">
        <v>771.06944444444446</v>
      </c>
      <c r="T6" s="550">
        <v>0</v>
      </c>
      <c r="U6" s="564"/>
      <c r="V6" s="564">
        <v>41</v>
      </c>
      <c r="W6" s="564">
        <v>0</v>
      </c>
      <c r="X6" s="564">
        <v>1</v>
      </c>
      <c r="Y6" s="550">
        <v>97.619047619047635</v>
      </c>
      <c r="Z6" s="550">
        <v>901.72222222222217</v>
      </c>
      <c r="AA6" s="550">
        <v>0</v>
      </c>
      <c r="AB6" s="564">
        <v>41</v>
      </c>
      <c r="AC6" s="564">
        <v>0</v>
      </c>
      <c r="AD6" s="564">
        <v>1</v>
      </c>
      <c r="AE6" s="550">
        <v>97.619047619047635</v>
      </c>
      <c r="AF6" s="550">
        <v>725.1111111111112</v>
      </c>
      <c r="AG6" s="550">
        <v>0</v>
      </c>
      <c r="AH6" s="564">
        <v>82</v>
      </c>
      <c r="AI6" s="564">
        <v>0</v>
      </c>
      <c r="AJ6" s="564">
        <v>2</v>
      </c>
      <c r="AK6" s="550">
        <v>97.619047619047635</v>
      </c>
      <c r="AL6" s="550">
        <v>813.41666666666674</v>
      </c>
      <c r="AM6" s="550">
        <v>0</v>
      </c>
      <c r="AN6" s="2" t="s">
        <v>68</v>
      </c>
      <c r="AO6" s="69">
        <v>42</v>
      </c>
      <c r="AP6" s="69">
        <v>0</v>
      </c>
      <c r="AQ6" s="69">
        <v>0</v>
      </c>
      <c r="AR6" s="68">
        <v>100</v>
      </c>
      <c r="AS6" s="68">
        <v>598.41666666666663</v>
      </c>
      <c r="AT6" s="68">
        <v>0</v>
      </c>
      <c r="AU6" s="69">
        <v>39</v>
      </c>
      <c r="AV6" s="69">
        <v>0</v>
      </c>
      <c r="AW6" s="69">
        <v>3</v>
      </c>
      <c r="AX6" s="68">
        <v>92.857142857142847</v>
      </c>
      <c r="AY6" s="68">
        <v>603.66666666666663</v>
      </c>
      <c r="AZ6" s="68">
        <v>0</v>
      </c>
      <c r="BA6" s="69">
        <v>81</v>
      </c>
      <c r="BB6" s="69">
        <v>0</v>
      </c>
      <c r="BC6" s="69">
        <v>3</v>
      </c>
      <c r="BD6" s="25">
        <v>96.428571428571431</v>
      </c>
      <c r="BE6" s="25">
        <v>601.04166666666663</v>
      </c>
      <c r="BF6" s="37">
        <v>0</v>
      </c>
      <c r="BH6" s="31">
        <v>42</v>
      </c>
      <c r="BI6" s="31">
        <v>0</v>
      </c>
      <c r="BJ6" s="31">
        <v>0</v>
      </c>
      <c r="BK6" s="25">
        <v>100</v>
      </c>
      <c r="BL6" s="25">
        <v>554.16666666666663</v>
      </c>
      <c r="BM6" s="25">
        <v>0</v>
      </c>
      <c r="BN6" s="239">
        <v>42</v>
      </c>
      <c r="BO6" s="239">
        <v>0</v>
      </c>
      <c r="BP6" s="239">
        <v>0</v>
      </c>
      <c r="BQ6" s="25">
        <v>100</v>
      </c>
      <c r="BR6" s="25">
        <v>614.33333333333337</v>
      </c>
      <c r="BS6" s="25">
        <v>0</v>
      </c>
      <c r="BT6" s="33">
        <v>84</v>
      </c>
      <c r="BU6" s="31">
        <v>0</v>
      </c>
      <c r="BV6" s="31">
        <v>0</v>
      </c>
      <c r="BW6" s="72">
        <v>100</v>
      </c>
      <c r="BX6" s="25">
        <v>584.25</v>
      </c>
      <c r="BY6" s="25">
        <v>0</v>
      </c>
    </row>
    <row r="7" spans="1:79" x14ac:dyDescent="0.2">
      <c r="A7" s="2" t="s">
        <v>97</v>
      </c>
      <c r="I7" s="564"/>
      <c r="J7" s="564"/>
      <c r="K7" s="564"/>
      <c r="L7" s="564"/>
      <c r="M7" s="564"/>
      <c r="N7" s="564"/>
      <c r="R7" s="564"/>
      <c r="S7" s="564"/>
      <c r="T7" s="564"/>
      <c r="U7" s="564"/>
      <c r="AB7" s="564"/>
      <c r="AC7" s="564"/>
      <c r="AD7" s="564"/>
      <c r="AE7" s="564"/>
      <c r="AF7" s="564"/>
      <c r="AG7" s="564"/>
      <c r="AK7" s="564"/>
      <c r="AL7" s="564"/>
      <c r="AM7" s="564"/>
      <c r="AN7" s="2" t="s">
        <v>67</v>
      </c>
      <c r="AO7" s="69">
        <v>42</v>
      </c>
      <c r="AP7" s="69">
        <v>0</v>
      </c>
      <c r="AQ7" s="69">
        <v>0</v>
      </c>
      <c r="AR7" s="68">
        <v>100</v>
      </c>
      <c r="AS7" s="68">
        <v>742.75</v>
      </c>
      <c r="AT7" s="68">
        <v>0</v>
      </c>
      <c r="AU7" s="69">
        <v>42</v>
      </c>
      <c r="AV7" s="69">
        <v>0</v>
      </c>
      <c r="AW7" s="69">
        <v>0</v>
      </c>
      <c r="AX7" s="68">
        <v>100</v>
      </c>
      <c r="AY7" s="68">
        <v>732.16666666666663</v>
      </c>
      <c r="AZ7" s="68">
        <v>0</v>
      </c>
      <c r="BA7" s="69">
        <v>84</v>
      </c>
      <c r="BB7" s="69">
        <v>0</v>
      </c>
      <c r="BC7" s="69">
        <v>0</v>
      </c>
      <c r="BD7" s="25">
        <v>100</v>
      </c>
      <c r="BE7" s="25">
        <v>737.45833333333326</v>
      </c>
      <c r="BF7" s="37">
        <v>0</v>
      </c>
      <c r="BH7" s="31">
        <v>36</v>
      </c>
      <c r="BI7" s="31">
        <v>0</v>
      </c>
      <c r="BJ7" s="31">
        <v>6</v>
      </c>
      <c r="BK7" s="25">
        <v>85.714285714285708</v>
      </c>
      <c r="BL7" s="25">
        <v>895</v>
      </c>
      <c r="BM7" s="25">
        <v>0</v>
      </c>
      <c r="BN7" s="239">
        <v>36</v>
      </c>
      <c r="BO7" s="239">
        <v>0</v>
      </c>
      <c r="BP7" s="239">
        <v>6</v>
      </c>
      <c r="BQ7" s="25">
        <v>85.714285714285708</v>
      </c>
      <c r="BR7" s="25">
        <v>841.16666666666663</v>
      </c>
      <c r="BS7" s="25">
        <v>0</v>
      </c>
      <c r="BT7" s="33">
        <v>72</v>
      </c>
      <c r="BU7" s="31">
        <v>0</v>
      </c>
      <c r="BV7" s="31">
        <v>12</v>
      </c>
      <c r="BW7" s="72">
        <v>85.714285714285708</v>
      </c>
      <c r="BX7" s="25">
        <v>868.08333333333326</v>
      </c>
      <c r="BY7" s="25">
        <v>0</v>
      </c>
    </row>
    <row r="8" spans="1:79" x14ac:dyDescent="0.2">
      <c r="A8" s="2" t="s">
        <v>99</v>
      </c>
      <c r="C8" s="564"/>
      <c r="D8" s="564"/>
      <c r="E8" s="564"/>
      <c r="F8" s="564"/>
      <c r="G8" s="564"/>
      <c r="H8" s="564"/>
      <c r="I8" s="564"/>
      <c r="J8" s="564"/>
      <c r="K8" s="564"/>
      <c r="L8" s="564"/>
      <c r="M8" s="564"/>
      <c r="N8" s="564"/>
      <c r="O8" s="564"/>
      <c r="P8" s="564"/>
      <c r="Q8" s="564"/>
      <c r="R8" s="564"/>
      <c r="S8" s="564"/>
      <c r="T8" s="564"/>
      <c r="U8" s="564"/>
      <c r="V8" s="564"/>
      <c r="W8" s="564"/>
      <c r="X8" s="564"/>
      <c r="Y8" s="564"/>
      <c r="Z8" s="564"/>
      <c r="AA8" s="564"/>
      <c r="AB8" s="564"/>
      <c r="AC8" s="564"/>
      <c r="AD8" s="564"/>
      <c r="AE8" s="564"/>
      <c r="AF8" s="564"/>
      <c r="AG8" s="564"/>
      <c r="AH8" s="564"/>
      <c r="AI8" s="564"/>
      <c r="AJ8" s="564"/>
      <c r="AK8" s="564"/>
      <c r="AL8" s="564"/>
      <c r="AM8" s="564"/>
      <c r="AN8" s="2" t="s">
        <v>67</v>
      </c>
      <c r="AO8" s="69">
        <v>42</v>
      </c>
      <c r="AP8" s="69">
        <v>0</v>
      </c>
      <c r="AQ8" s="69">
        <v>0</v>
      </c>
      <c r="AR8" s="68">
        <v>100</v>
      </c>
      <c r="AS8" s="68">
        <v>417.25</v>
      </c>
      <c r="AT8" s="68">
        <v>0</v>
      </c>
      <c r="AU8" s="69">
        <v>42</v>
      </c>
      <c r="AV8" s="69">
        <v>0</v>
      </c>
      <c r="AW8" s="69">
        <v>0</v>
      </c>
      <c r="AX8" s="68">
        <v>100</v>
      </c>
      <c r="AY8" s="68">
        <v>430.5</v>
      </c>
      <c r="AZ8" s="68">
        <v>0</v>
      </c>
      <c r="BA8" s="69">
        <v>84</v>
      </c>
      <c r="BB8" s="69">
        <v>0</v>
      </c>
      <c r="BC8" s="239">
        <v>0</v>
      </c>
      <c r="BD8" s="68">
        <v>100</v>
      </c>
      <c r="BE8" s="68">
        <v>423.875</v>
      </c>
      <c r="BF8" s="25">
        <v>0</v>
      </c>
      <c r="BH8" s="31">
        <v>41</v>
      </c>
      <c r="BI8" s="31">
        <v>0</v>
      </c>
      <c r="BJ8" s="31">
        <v>1</v>
      </c>
      <c r="BK8" s="25">
        <v>97.619047619047635</v>
      </c>
      <c r="BL8" s="25">
        <v>476.8055555555556</v>
      </c>
      <c r="BM8" s="25">
        <v>0</v>
      </c>
      <c r="BN8" s="239">
        <v>42</v>
      </c>
      <c r="BO8" s="239">
        <v>0</v>
      </c>
      <c r="BP8" s="239">
        <v>0</v>
      </c>
      <c r="BQ8" s="25">
        <v>100</v>
      </c>
      <c r="BR8" s="25">
        <v>444.75</v>
      </c>
      <c r="BS8" s="25">
        <v>0</v>
      </c>
      <c r="BT8" s="33">
        <v>83</v>
      </c>
      <c r="BU8" s="31">
        <v>0</v>
      </c>
      <c r="BV8" s="31">
        <v>1</v>
      </c>
      <c r="BW8" s="72">
        <v>98.809523809523824</v>
      </c>
      <c r="BX8" s="25">
        <v>460.77777777777783</v>
      </c>
      <c r="BY8" s="25">
        <v>0</v>
      </c>
    </row>
    <row r="9" spans="1:79" x14ac:dyDescent="0.2">
      <c r="A9" s="2" t="s">
        <v>108</v>
      </c>
      <c r="B9" s="2" t="s">
        <v>831</v>
      </c>
      <c r="C9" s="564">
        <v>42</v>
      </c>
      <c r="D9" s="564">
        <v>0</v>
      </c>
      <c r="E9" s="564">
        <v>0</v>
      </c>
      <c r="F9" s="564">
        <v>100</v>
      </c>
      <c r="G9" s="564">
        <v>574.58333333333337</v>
      </c>
      <c r="H9" s="564" t="s">
        <v>829</v>
      </c>
      <c r="I9" s="564">
        <v>41</v>
      </c>
      <c r="J9" s="564">
        <v>0</v>
      </c>
      <c r="K9" s="564">
        <v>1</v>
      </c>
      <c r="L9" s="564">
        <v>97.619047619047635</v>
      </c>
      <c r="M9" s="564">
        <v>594.3888888888888</v>
      </c>
      <c r="N9" s="564" t="s">
        <v>829</v>
      </c>
      <c r="O9" s="564">
        <v>83</v>
      </c>
      <c r="P9" s="564">
        <v>0</v>
      </c>
      <c r="Q9" s="564">
        <v>1</v>
      </c>
      <c r="R9" s="564">
        <v>98.809523809523824</v>
      </c>
      <c r="S9" s="564">
        <v>584.48611111111109</v>
      </c>
      <c r="T9" s="564">
        <v>0</v>
      </c>
      <c r="U9" s="564"/>
      <c r="V9" s="564">
        <v>42</v>
      </c>
      <c r="W9" s="564">
        <v>0</v>
      </c>
      <c r="X9" s="564">
        <v>0</v>
      </c>
      <c r="Y9" s="564">
        <v>100</v>
      </c>
      <c r="Z9" s="564">
        <v>597.16666666666663</v>
      </c>
      <c r="AA9" s="564" t="s">
        <v>829</v>
      </c>
      <c r="AB9" s="564">
        <v>42</v>
      </c>
      <c r="AC9" s="564">
        <v>0</v>
      </c>
      <c r="AD9" s="564">
        <v>0</v>
      </c>
      <c r="AE9" s="564">
        <v>100</v>
      </c>
      <c r="AF9" s="564">
        <v>781.16666666666663</v>
      </c>
      <c r="AG9" s="564" t="s">
        <v>829</v>
      </c>
      <c r="AH9" s="564">
        <v>84</v>
      </c>
      <c r="AI9" s="564">
        <v>0</v>
      </c>
      <c r="AJ9" s="564">
        <v>0</v>
      </c>
      <c r="AK9" s="564">
        <v>100</v>
      </c>
      <c r="AL9" s="564">
        <v>689.16666666666663</v>
      </c>
      <c r="AM9" s="564">
        <v>0</v>
      </c>
      <c r="AN9" s="2" t="s">
        <v>68</v>
      </c>
      <c r="AO9" s="69">
        <v>42</v>
      </c>
      <c r="AP9" s="69">
        <v>0</v>
      </c>
      <c r="AQ9" s="69">
        <v>0</v>
      </c>
      <c r="AR9" s="68">
        <v>100</v>
      </c>
      <c r="AS9" s="68">
        <v>528.58333333333337</v>
      </c>
      <c r="AT9" s="68">
        <v>0</v>
      </c>
      <c r="AU9" s="69">
        <v>40</v>
      </c>
      <c r="AV9" s="69">
        <v>1</v>
      </c>
      <c r="AW9" s="69">
        <v>1</v>
      </c>
      <c r="AX9" s="68">
        <v>95.238095238095241</v>
      </c>
      <c r="AY9" s="68">
        <v>554.3611111111112</v>
      </c>
      <c r="AZ9" s="68">
        <v>1281</v>
      </c>
      <c r="BA9" s="69">
        <v>82</v>
      </c>
      <c r="BB9" s="69">
        <v>1</v>
      </c>
      <c r="BC9" s="69">
        <v>1</v>
      </c>
      <c r="BD9" s="25">
        <v>97.61904761904762</v>
      </c>
      <c r="BE9" s="25">
        <v>541.47222222222229</v>
      </c>
      <c r="BF9" s="37">
        <v>1281</v>
      </c>
      <c r="BH9" s="31">
        <v>41</v>
      </c>
      <c r="BI9" s="31">
        <v>0</v>
      </c>
      <c r="BJ9" s="31">
        <v>1</v>
      </c>
      <c r="BK9" s="25">
        <v>97.619047619047635</v>
      </c>
      <c r="BL9" s="25">
        <v>617.8611111111112</v>
      </c>
      <c r="BM9" s="25">
        <v>0</v>
      </c>
      <c r="BN9" s="239">
        <v>38</v>
      </c>
      <c r="BO9" s="239">
        <v>0</v>
      </c>
      <c r="BP9" s="239">
        <v>4</v>
      </c>
      <c r="BQ9" s="25">
        <v>90.476190476190482</v>
      </c>
      <c r="BR9" s="25">
        <v>655.6111111111112</v>
      </c>
      <c r="BS9" s="25">
        <v>0</v>
      </c>
      <c r="BT9" s="33">
        <v>79</v>
      </c>
      <c r="BU9" s="31">
        <v>0</v>
      </c>
      <c r="BV9" s="31">
        <v>5</v>
      </c>
      <c r="BW9" s="72">
        <v>94.047619047619065</v>
      </c>
      <c r="BX9" s="25">
        <v>636.7361111111112</v>
      </c>
      <c r="BY9" s="25">
        <v>0</v>
      </c>
    </row>
    <row r="10" spans="1:79" x14ac:dyDescent="0.2">
      <c r="A10" s="2" t="s">
        <v>109</v>
      </c>
      <c r="C10" s="564"/>
      <c r="D10" s="564"/>
      <c r="E10" s="564"/>
      <c r="F10" s="564"/>
      <c r="G10" s="564"/>
      <c r="H10" s="564"/>
      <c r="I10" s="564"/>
      <c r="J10" s="564"/>
      <c r="K10" s="564"/>
      <c r="L10" s="564"/>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2" t="s">
        <v>68</v>
      </c>
      <c r="AO10" s="69">
        <v>39</v>
      </c>
      <c r="AP10" s="69">
        <v>2</v>
      </c>
      <c r="AQ10" s="69">
        <v>1</v>
      </c>
      <c r="AR10" s="68">
        <v>92.857142857142847</v>
      </c>
      <c r="AS10" s="68">
        <v>773.77777777777771</v>
      </c>
      <c r="AT10" s="68">
        <v>856</v>
      </c>
      <c r="AU10" s="69">
        <v>42</v>
      </c>
      <c r="AV10" s="69">
        <v>0</v>
      </c>
      <c r="AW10" s="69">
        <v>0</v>
      </c>
      <c r="AX10" s="68">
        <v>100</v>
      </c>
      <c r="AY10" s="68">
        <v>556.58333333333337</v>
      </c>
      <c r="AZ10" s="68">
        <v>0</v>
      </c>
      <c r="BA10" s="69">
        <v>81</v>
      </c>
      <c r="BB10" s="69">
        <v>2</v>
      </c>
      <c r="BC10" s="69">
        <v>1</v>
      </c>
      <c r="BD10" s="25">
        <v>96.428571428571416</v>
      </c>
      <c r="BE10" s="25">
        <v>665.18055555555554</v>
      </c>
      <c r="BF10" s="37">
        <v>856</v>
      </c>
      <c r="BH10" s="31">
        <v>40</v>
      </c>
      <c r="BI10" s="31">
        <v>1</v>
      </c>
      <c r="BJ10" s="31">
        <v>1</v>
      </c>
      <c r="BK10" s="25">
        <v>95.238095238095241</v>
      </c>
      <c r="BL10" s="25">
        <v>1042.8611111111111</v>
      </c>
      <c r="BM10" s="25">
        <v>768</v>
      </c>
      <c r="BN10" s="239">
        <v>41</v>
      </c>
      <c r="BO10" s="239">
        <v>0</v>
      </c>
      <c r="BP10" s="239">
        <v>1</v>
      </c>
      <c r="BQ10" s="25">
        <v>97.619047619047635</v>
      </c>
      <c r="BR10" s="25">
        <v>806.02777777777783</v>
      </c>
      <c r="BS10" s="25">
        <v>0</v>
      </c>
      <c r="BT10" s="33">
        <v>81</v>
      </c>
      <c r="BU10" s="31">
        <v>1</v>
      </c>
      <c r="BV10" s="31">
        <v>2</v>
      </c>
      <c r="BW10" s="72">
        <v>96.428571428571445</v>
      </c>
      <c r="BX10" s="25">
        <v>924.44444444444446</v>
      </c>
      <c r="BY10" s="25">
        <v>768</v>
      </c>
    </row>
    <row r="11" spans="1:79" x14ac:dyDescent="0.2">
      <c r="A11" s="2" t="s">
        <v>110</v>
      </c>
      <c r="B11" s="2" t="s">
        <v>68</v>
      </c>
      <c r="C11" s="564">
        <v>31</v>
      </c>
      <c r="D11" s="564">
        <v>0</v>
      </c>
      <c r="E11" s="564">
        <v>11</v>
      </c>
      <c r="F11" s="564">
        <v>73.80952380952381</v>
      </c>
      <c r="G11" s="564">
        <v>290.33333333333331</v>
      </c>
      <c r="H11" s="564" t="s">
        <v>829</v>
      </c>
      <c r="I11" s="564">
        <v>42</v>
      </c>
      <c r="J11" s="564">
        <v>0</v>
      </c>
      <c r="K11" s="564">
        <v>0</v>
      </c>
      <c r="L11" s="564">
        <v>100</v>
      </c>
      <c r="M11" s="564">
        <v>524.75</v>
      </c>
      <c r="N11" s="564" t="s">
        <v>829</v>
      </c>
      <c r="O11" s="564">
        <v>73</v>
      </c>
      <c r="P11" s="564">
        <v>0</v>
      </c>
      <c r="Q11" s="564">
        <v>11</v>
      </c>
      <c r="R11" s="564">
        <v>86.904761904761898</v>
      </c>
      <c r="S11" s="564">
        <v>407.54166666666663</v>
      </c>
      <c r="T11" s="564">
        <v>0</v>
      </c>
      <c r="U11" s="564"/>
      <c r="V11" s="564">
        <v>32</v>
      </c>
      <c r="W11" s="564">
        <v>0</v>
      </c>
      <c r="X11" s="564">
        <v>10</v>
      </c>
      <c r="Y11" s="564">
        <v>76.19047619047619</v>
      </c>
      <c r="Z11" s="564">
        <v>681.33333333333337</v>
      </c>
      <c r="AA11" s="564" t="s">
        <v>829</v>
      </c>
      <c r="AB11" s="564">
        <v>38</v>
      </c>
      <c r="AC11" s="564">
        <v>3</v>
      </c>
      <c r="AD11" s="564">
        <v>1</v>
      </c>
      <c r="AE11" s="564">
        <v>90.476190476190482</v>
      </c>
      <c r="AF11" s="564">
        <v>764.05555555555554</v>
      </c>
      <c r="AG11" s="564">
        <v>732.33333333333337</v>
      </c>
      <c r="AH11" s="564">
        <v>70</v>
      </c>
      <c r="AI11" s="564">
        <v>3</v>
      </c>
      <c r="AJ11" s="564">
        <v>11</v>
      </c>
      <c r="AK11" s="564">
        <v>83.333333333333343</v>
      </c>
      <c r="AL11" s="564">
        <v>722.69444444444446</v>
      </c>
      <c r="AM11" s="564">
        <v>732.33333333333337</v>
      </c>
      <c r="AN11" s="2" t="s">
        <v>67</v>
      </c>
      <c r="AO11" s="69">
        <v>40</v>
      </c>
      <c r="AP11" s="69">
        <v>0</v>
      </c>
      <c r="AQ11" s="69">
        <v>2</v>
      </c>
      <c r="AR11" s="68">
        <v>95.238095238095241</v>
      </c>
      <c r="AS11" s="68">
        <v>679.22222222222217</v>
      </c>
      <c r="AT11" s="68">
        <v>0</v>
      </c>
      <c r="AU11" s="69">
        <v>42</v>
      </c>
      <c r="AV11" s="69">
        <v>0</v>
      </c>
      <c r="AW11" s="69">
        <v>0</v>
      </c>
      <c r="AX11" s="68">
        <v>100</v>
      </c>
      <c r="AY11" s="68">
        <v>550.33333333333337</v>
      </c>
      <c r="AZ11" s="68">
        <v>0</v>
      </c>
      <c r="BA11" s="69">
        <v>82</v>
      </c>
      <c r="BB11" s="69">
        <v>0</v>
      </c>
      <c r="BC11" s="69">
        <v>2</v>
      </c>
      <c r="BD11" s="25">
        <v>97.61904761904762</v>
      </c>
      <c r="BE11" s="25">
        <v>614.77777777777783</v>
      </c>
      <c r="BF11" s="37">
        <v>0</v>
      </c>
      <c r="BH11" s="31">
        <v>40</v>
      </c>
      <c r="BI11" s="31">
        <v>1</v>
      </c>
      <c r="BJ11" s="31">
        <v>1</v>
      </c>
      <c r="BK11" s="25">
        <v>95.238095238095241</v>
      </c>
      <c r="BL11" s="25">
        <v>873.08333333333337</v>
      </c>
      <c r="BM11" s="25">
        <v>1226</v>
      </c>
      <c r="BN11" s="239">
        <v>40</v>
      </c>
      <c r="BO11" s="239">
        <v>0</v>
      </c>
      <c r="BP11" s="239">
        <v>2</v>
      </c>
      <c r="BQ11" s="25">
        <v>95.238095238095241</v>
      </c>
      <c r="BR11" s="25">
        <v>841</v>
      </c>
      <c r="BS11" s="25">
        <v>0</v>
      </c>
      <c r="BT11" s="33">
        <v>80</v>
      </c>
      <c r="BU11" s="31">
        <v>1</v>
      </c>
      <c r="BV11" s="31">
        <v>3</v>
      </c>
      <c r="BW11" s="72">
        <v>95.238095238095241</v>
      </c>
      <c r="BX11" s="25">
        <v>857.04166666666674</v>
      </c>
      <c r="BY11" s="25">
        <v>1226</v>
      </c>
    </row>
    <row r="12" spans="1:79" x14ac:dyDescent="0.2">
      <c r="A12" s="2" t="s">
        <v>111</v>
      </c>
      <c r="B12" s="2" t="s">
        <v>68</v>
      </c>
      <c r="C12" s="564">
        <v>42</v>
      </c>
      <c r="D12" s="564">
        <v>0</v>
      </c>
      <c r="E12" s="564">
        <v>0</v>
      </c>
      <c r="F12" s="564">
        <v>100</v>
      </c>
      <c r="G12" s="564">
        <v>552.08333333333337</v>
      </c>
      <c r="H12" s="564" t="s">
        <v>829</v>
      </c>
      <c r="I12" s="564">
        <v>42</v>
      </c>
      <c r="J12" s="564">
        <v>0</v>
      </c>
      <c r="K12" s="564">
        <v>0</v>
      </c>
      <c r="L12" s="564">
        <v>100</v>
      </c>
      <c r="M12" s="564">
        <v>604.5</v>
      </c>
      <c r="N12" s="564" t="s">
        <v>829</v>
      </c>
      <c r="O12" s="564">
        <v>84</v>
      </c>
      <c r="P12" s="564">
        <v>0</v>
      </c>
      <c r="Q12" s="564">
        <v>0</v>
      </c>
      <c r="R12" s="564">
        <v>100</v>
      </c>
      <c r="S12" s="564">
        <v>578.29166666666674</v>
      </c>
      <c r="T12" s="564">
        <v>0</v>
      </c>
      <c r="U12" s="564"/>
      <c r="V12" s="564">
        <v>41</v>
      </c>
      <c r="W12" s="564">
        <v>1</v>
      </c>
      <c r="X12" s="564">
        <v>0</v>
      </c>
      <c r="Y12" s="564">
        <v>97.619047619047635</v>
      </c>
      <c r="Z12" s="564">
        <v>537.66666666666663</v>
      </c>
      <c r="AA12" s="564">
        <v>1531</v>
      </c>
      <c r="AB12" s="564">
        <v>42</v>
      </c>
      <c r="AC12" s="564">
        <v>0</v>
      </c>
      <c r="AD12" s="564">
        <v>0</v>
      </c>
      <c r="AE12" s="564">
        <v>100</v>
      </c>
      <c r="AF12" s="564">
        <v>571.66666666666663</v>
      </c>
      <c r="AG12" s="564" t="s">
        <v>829</v>
      </c>
      <c r="AH12" s="564">
        <v>83</v>
      </c>
      <c r="AI12" s="564">
        <v>1</v>
      </c>
      <c r="AJ12" s="564">
        <v>0</v>
      </c>
      <c r="AK12" s="564">
        <v>98.809523809523824</v>
      </c>
      <c r="AL12" s="564">
        <v>554.66666666666663</v>
      </c>
      <c r="AM12" s="564">
        <v>1531</v>
      </c>
      <c r="AN12" s="2" t="s">
        <v>67</v>
      </c>
      <c r="AO12" s="69">
        <v>42</v>
      </c>
      <c r="AP12" s="69">
        <v>0</v>
      </c>
      <c r="AQ12" s="69">
        <v>0</v>
      </c>
      <c r="AR12" s="68">
        <v>100</v>
      </c>
      <c r="AS12" s="68">
        <v>570.41666666666663</v>
      </c>
      <c r="AT12" s="68">
        <v>0</v>
      </c>
      <c r="AU12" s="69">
        <v>42</v>
      </c>
      <c r="AV12" s="69">
        <v>0</v>
      </c>
      <c r="AW12" s="69">
        <v>0</v>
      </c>
      <c r="AX12" s="68">
        <v>100</v>
      </c>
      <c r="AY12" s="68">
        <v>603.66666666666663</v>
      </c>
      <c r="AZ12" s="68">
        <v>0</v>
      </c>
      <c r="BA12" s="69">
        <v>84</v>
      </c>
      <c r="BB12" s="69">
        <v>0</v>
      </c>
      <c r="BC12" s="69">
        <v>0</v>
      </c>
      <c r="BD12" s="68">
        <v>100</v>
      </c>
      <c r="BE12" s="68">
        <v>587.04166666666663</v>
      </c>
      <c r="BF12" s="68">
        <v>0</v>
      </c>
      <c r="BH12" s="31">
        <v>41</v>
      </c>
      <c r="BI12" s="31">
        <v>1</v>
      </c>
      <c r="BJ12" s="31">
        <v>0</v>
      </c>
      <c r="BK12" s="25">
        <v>97.619047619047635</v>
      </c>
      <c r="BL12" s="25">
        <v>649.75</v>
      </c>
      <c r="BM12" s="25">
        <v>538</v>
      </c>
      <c r="BN12" s="239">
        <v>42</v>
      </c>
      <c r="BO12" s="239">
        <v>0</v>
      </c>
      <c r="BP12" s="239">
        <v>0</v>
      </c>
      <c r="BQ12" s="25">
        <v>100</v>
      </c>
      <c r="BR12" s="25">
        <v>631.41666666666663</v>
      </c>
      <c r="BS12" s="25">
        <v>0</v>
      </c>
      <c r="BT12" s="33">
        <v>83</v>
      </c>
      <c r="BU12" s="31">
        <v>1</v>
      </c>
      <c r="BV12" s="31">
        <v>0</v>
      </c>
      <c r="BW12" s="72">
        <v>98.809523809523824</v>
      </c>
      <c r="BX12" s="25">
        <v>640.58333333333326</v>
      </c>
      <c r="BY12" s="25">
        <v>538</v>
      </c>
    </row>
    <row r="13" spans="1:79" x14ac:dyDescent="0.2">
      <c r="A13" s="2" t="s">
        <v>112</v>
      </c>
      <c r="B13" s="2" t="s">
        <v>831</v>
      </c>
      <c r="C13" s="564">
        <v>42</v>
      </c>
      <c r="D13" s="564">
        <v>0</v>
      </c>
      <c r="E13" s="564">
        <v>0</v>
      </c>
      <c r="F13" s="564">
        <v>100</v>
      </c>
      <c r="G13" s="564">
        <v>582.16666666666663</v>
      </c>
      <c r="H13" s="564" t="s">
        <v>829</v>
      </c>
      <c r="I13" s="564">
        <v>42</v>
      </c>
      <c r="J13" s="564">
        <v>0</v>
      </c>
      <c r="K13" s="564">
        <v>0</v>
      </c>
      <c r="L13" s="564">
        <v>100</v>
      </c>
      <c r="M13" s="564">
        <v>616.41666666666663</v>
      </c>
      <c r="N13" s="564" t="s">
        <v>829</v>
      </c>
      <c r="O13" s="564">
        <v>84</v>
      </c>
      <c r="P13" s="564">
        <v>0</v>
      </c>
      <c r="Q13" s="564">
        <v>0</v>
      </c>
      <c r="R13" s="564">
        <v>100</v>
      </c>
      <c r="S13" s="564">
        <v>599.29166666666663</v>
      </c>
      <c r="T13" s="564" t="s">
        <v>829</v>
      </c>
      <c r="U13" s="564"/>
      <c r="V13" s="564">
        <v>42</v>
      </c>
      <c r="W13" s="564">
        <v>0</v>
      </c>
      <c r="X13" s="564">
        <v>0</v>
      </c>
      <c r="Y13" s="564">
        <v>100</v>
      </c>
      <c r="Z13" s="564">
        <v>643.25</v>
      </c>
      <c r="AA13" s="564" t="s">
        <v>829</v>
      </c>
      <c r="AB13" s="564">
        <v>40</v>
      </c>
      <c r="AC13" s="564">
        <v>1</v>
      </c>
      <c r="AD13" s="564">
        <v>1</v>
      </c>
      <c r="AE13" s="564">
        <v>95.238095238095241</v>
      </c>
      <c r="AF13" s="564">
        <v>614.8611111111112</v>
      </c>
      <c r="AG13" s="564">
        <v>1361</v>
      </c>
      <c r="AH13" s="564">
        <v>82</v>
      </c>
      <c r="AI13" s="564">
        <v>1</v>
      </c>
      <c r="AJ13" s="564">
        <v>1</v>
      </c>
      <c r="AK13" s="564">
        <v>97.61904761904762</v>
      </c>
      <c r="AL13" s="564">
        <v>629.05555555555566</v>
      </c>
      <c r="AM13" s="564">
        <v>1361</v>
      </c>
      <c r="AN13" s="2" t="s">
        <v>68</v>
      </c>
      <c r="AO13" s="69">
        <v>42</v>
      </c>
      <c r="AP13" s="69">
        <v>0</v>
      </c>
      <c r="AQ13" s="69">
        <v>0</v>
      </c>
      <c r="AR13" s="68">
        <v>100</v>
      </c>
      <c r="AS13" s="68">
        <v>532.91666666666663</v>
      </c>
      <c r="AT13" s="68">
        <v>0</v>
      </c>
      <c r="AU13" s="69">
        <v>42</v>
      </c>
      <c r="AV13" s="69">
        <v>0</v>
      </c>
      <c r="AW13" s="69">
        <v>0</v>
      </c>
      <c r="AX13" s="68">
        <v>100</v>
      </c>
      <c r="AY13" s="68">
        <v>535.33333333333337</v>
      </c>
      <c r="AZ13" s="68">
        <v>0</v>
      </c>
      <c r="BA13" s="69">
        <v>84</v>
      </c>
      <c r="BB13" s="69">
        <v>0</v>
      </c>
      <c r="BC13" s="69">
        <v>0</v>
      </c>
      <c r="BD13" s="25">
        <v>100</v>
      </c>
      <c r="BE13" s="25">
        <v>534.125</v>
      </c>
      <c r="BF13" s="37">
        <v>0</v>
      </c>
      <c r="BH13" s="31">
        <v>42</v>
      </c>
      <c r="BI13" s="31">
        <v>0</v>
      </c>
      <c r="BJ13" s="31">
        <v>0</v>
      </c>
      <c r="BK13" s="25">
        <v>100</v>
      </c>
      <c r="BL13" s="25">
        <v>610.58333333333337</v>
      </c>
      <c r="BM13" s="25">
        <v>0</v>
      </c>
      <c r="BN13" s="239">
        <v>42</v>
      </c>
      <c r="BO13" s="239">
        <v>0</v>
      </c>
      <c r="BP13" s="239">
        <v>0</v>
      </c>
      <c r="BQ13" s="25">
        <v>100</v>
      </c>
      <c r="BR13" s="25">
        <v>527.08333333333337</v>
      </c>
      <c r="BS13" s="25">
        <v>0</v>
      </c>
      <c r="BT13" s="33">
        <v>84</v>
      </c>
      <c r="BU13" s="31">
        <v>0</v>
      </c>
      <c r="BV13" s="31">
        <v>0</v>
      </c>
      <c r="BW13" s="72">
        <v>100</v>
      </c>
      <c r="BX13" s="25">
        <v>568.83333333333337</v>
      </c>
      <c r="BY13" s="25">
        <v>0</v>
      </c>
    </row>
    <row r="14" spans="1:79" x14ac:dyDescent="0.2">
      <c r="A14" s="2" t="s">
        <v>113</v>
      </c>
      <c r="B14" s="2" t="s">
        <v>831</v>
      </c>
      <c r="C14" s="564">
        <v>41</v>
      </c>
      <c r="D14" s="564">
        <v>1</v>
      </c>
      <c r="E14" s="564">
        <v>0</v>
      </c>
      <c r="F14" s="564">
        <v>97.619047619047635</v>
      </c>
      <c r="G14" s="564">
        <v>715.83333333333337</v>
      </c>
      <c r="H14" s="564">
        <v>484</v>
      </c>
      <c r="I14" s="564">
        <v>42</v>
      </c>
      <c r="J14" s="564">
        <v>0</v>
      </c>
      <c r="K14" s="564">
        <v>0</v>
      </c>
      <c r="L14" s="564">
        <v>100</v>
      </c>
      <c r="M14" s="564">
        <v>840.75</v>
      </c>
      <c r="N14" s="564" t="s">
        <v>829</v>
      </c>
      <c r="O14" s="564">
        <v>83</v>
      </c>
      <c r="P14" s="564">
        <v>1</v>
      </c>
      <c r="Q14" s="564">
        <v>0</v>
      </c>
      <c r="R14" s="564">
        <v>98.809523809523824</v>
      </c>
      <c r="S14" s="564">
        <v>778.29166666666674</v>
      </c>
      <c r="T14" s="564">
        <v>484</v>
      </c>
      <c r="U14" s="564"/>
      <c r="V14" s="564">
        <v>42</v>
      </c>
      <c r="W14" s="564">
        <v>0</v>
      </c>
      <c r="X14" s="564">
        <v>0</v>
      </c>
      <c r="Y14" s="564">
        <v>100</v>
      </c>
      <c r="Z14" s="564">
        <v>839.5</v>
      </c>
      <c r="AA14" s="564" t="s">
        <v>829</v>
      </c>
      <c r="AB14" s="564">
        <v>41</v>
      </c>
      <c r="AC14" s="564">
        <v>0</v>
      </c>
      <c r="AD14" s="564">
        <v>1</v>
      </c>
      <c r="AE14" s="564">
        <v>97.619047619047635</v>
      </c>
      <c r="AF14" s="564">
        <v>793.25</v>
      </c>
      <c r="AG14" s="564" t="s">
        <v>829</v>
      </c>
      <c r="AH14" s="564">
        <v>83</v>
      </c>
      <c r="AI14" s="564">
        <v>0</v>
      </c>
      <c r="AJ14" s="564">
        <v>1</v>
      </c>
      <c r="AK14" s="564">
        <v>98.809523809523824</v>
      </c>
      <c r="AL14" s="564">
        <v>816.375</v>
      </c>
      <c r="AM14" s="564">
        <v>0</v>
      </c>
      <c r="AN14" s="2" t="s">
        <v>68</v>
      </c>
      <c r="AO14" s="69">
        <v>42</v>
      </c>
      <c r="AP14" s="69">
        <v>0</v>
      </c>
      <c r="AQ14" s="69">
        <v>0</v>
      </c>
      <c r="AR14" s="68">
        <v>100</v>
      </c>
      <c r="AS14" s="68">
        <v>690.91666666666663</v>
      </c>
      <c r="AT14" s="68">
        <v>0</v>
      </c>
      <c r="AU14" s="69">
        <v>42</v>
      </c>
      <c r="AV14" s="69">
        <v>0</v>
      </c>
      <c r="AW14" s="69">
        <v>0</v>
      </c>
      <c r="AX14" s="68">
        <v>100</v>
      </c>
      <c r="AY14" s="68">
        <v>756.5</v>
      </c>
      <c r="AZ14" s="68">
        <v>0</v>
      </c>
      <c r="BA14" s="69">
        <v>84</v>
      </c>
      <c r="BB14" s="69">
        <v>0</v>
      </c>
      <c r="BC14" s="69">
        <v>0</v>
      </c>
      <c r="BD14" s="25">
        <v>100</v>
      </c>
      <c r="BE14" s="25">
        <v>723.70833333333326</v>
      </c>
      <c r="BF14" s="37">
        <v>0</v>
      </c>
      <c r="BH14" s="31">
        <v>41</v>
      </c>
      <c r="BI14" s="31">
        <v>0</v>
      </c>
      <c r="BJ14" s="31">
        <v>1</v>
      </c>
      <c r="BK14" s="25">
        <v>97.619047619047635</v>
      </c>
      <c r="BL14" s="25">
        <v>795.83333333333337</v>
      </c>
      <c r="BM14" s="25">
        <v>0</v>
      </c>
      <c r="BN14" s="239">
        <v>42</v>
      </c>
      <c r="BO14" s="239">
        <v>0</v>
      </c>
      <c r="BP14" s="239">
        <v>0</v>
      </c>
      <c r="BQ14" s="25">
        <v>100</v>
      </c>
      <c r="BR14" s="25">
        <v>745.91666666666663</v>
      </c>
      <c r="BS14" s="25">
        <v>0</v>
      </c>
      <c r="BT14" s="33">
        <v>83</v>
      </c>
      <c r="BU14" s="31">
        <v>0</v>
      </c>
      <c r="BV14" s="31">
        <v>1</v>
      </c>
      <c r="BW14" s="72">
        <v>98.809523809523824</v>
      </c>
      <c r="BX14" s="25">
        <v>770.875</v>
      </c>
      <c r="BY14" s="25">
        <v>0</v>
      </c>
    </row>
    <row r="15" spans="1:79" x14ac:dyDescent="0.2">
      <c r="A15" s="2" t="s">
        <v>114</v>
      </c>
      <c r="B15" s="2" t="s">
        <v>68</v>
      </c>
      <c r="C15" s="564">
        <v>41</v>
      </c>
      <c r="D15" s="564">
        <v>0</v>
      </c>
      <c r="E15" s="564">
        <v>1</v>
      </c>
      <c r="F15" s="564">
        <v>97.619047619047635</v>
      </c>
      <c r="G15" s="564">
        <v>536.38888888888891</v>
      </c>
      <c r="H15" s="564" t="s">
        <v>829</v>
      </c>
      <c r="I15" s="564">
        <v>42</v>
      </c>
      <c r="J15" s="564">
        <v>0</v>
      </c>
      <c r="K15" s="564">
        <v>0</v>
      </c>
      <c r="L15" s="564">
        <v>100</v>
      </c>
      <c r="M15" s="564">
        <v>643.41666666666663</v>
      </c>
      <c r="N15" s="564" t="s">
        <v>829</v>
      </c>
      <c r="O15" s="564">
        <v>84</v>
      </c>
      <c r="P15" s="564">
        <v>0</v>
      </c>
      <c r="Q15" s="564">
        <v>0</v>
      </c>
      <c r="R15" s="564">
        <v>100</v>
      </c>
      <c r="S15" s="564">
        <v>582.75</v>
      </c>
      <c r="T15" s="564">
        <v>0</v>
      </c>
      <c r="U15" s="564"/>
      <c r="V15" s="564">
        <v>42</v>
      </c>
      <c r="W15" s="564">
        <v>0</v>
      </c>
      <c r="X15" s="564">
        <v>0</v>
      </c>
      <c r="Y15" s="564">
        <v>100</v>
      </c>
      <c r="Z15" s="564">
        <v>580</v>
      </c>
      <c r="AA15" s="564" t="s">
        <v>829</v>
      </c>
      <c r="AB15" s="564">
        <v>42</v>
      </c>
      <c r="AC15" s="564">
        <v>0</v>
      </c>
      <c r="AD15" s="564">
        <v>0</v>
      </c>
      <c r="AE15" s="564">
        <v>100</v>
      </c>
      <c r="AF15" s="564">
        <v>585.5</v>
      </c>
      <c r="AG15" s="564" t="s">
        <v>829</v>
      </c>
      <c r="AH15" s="564">
        <v>83</v>
      </c>
      <c r="AI15" s="564">
        <v>0</v>
      </c>
      <c r="AJ15" s="564">
        <v>1</v>
      </c>
      <c r="AK15" s="564">
        <v>98.809523809523824</v>
      </c>
      <c r="AL15" s="564">
        <v>589.90277777777783</v>
      </c>
      <c r="AM15" s="564">
        <v>0</v>
      </c>
      <c r="AN15" s="2" t="s">
        <v>67</v>
      </c>
      <c r="AO15" s="69">
        <v>42</v>
      </c>
      <c r="AP15" s="69">
        <v>0</v>
      </c>
      <c r="AQ15" s="69">
        <v>0</v>
      </c>
      <c r="AR15" s="68">
        <v>100</v>
      </c>
      <c r="AS15" s="68">
        <v>509.16666666666669</v>
      </c>
      <c r="AT15" s="68">
        <v>0</v>
      </c>
      <c r="AU15" s="69">
        <v>42</v>
      </c>
      <c r="AV15" s="69">
        <v>0</v>
      </c>
      <c r="AW15" s="69">
        <v>0</v>
      </c>
      <c r="AX15" s="68">
        <v>100</v>
      </c>
      <c r="AY15" s="68">
        <v>514.66666666666663</v>
      </c>
      <c r="AZ15" s="68">
        <v>0</v>
      </c>
      <c r="BA15" s="69">
        <v>84</v>
      </c>
      <c r="BB15" s="69">
        <v>0</v>
      </c>
      <c r="BC15" s="69">
        <v>0</v>
      </c>
      <c r="BD15" s="25">
        <v>100</v>
      </c>
      <c r="BE15" s="25">
        <v>511.91666666666663</v>
      </c>
      <c r="BF15" s="37">
        <v>0</v>
      </c>
      <c r="BH15" s="31">
        <v>39</v>
      </c>
      <c r="BI15" s="31">
        <v>1</v>
      </c>
      <c r="BJ15" s="31">
        <v>2</v>
      </c>
      <c r="BK15" s="25">
        <v>92.857142857142847</v>
      </c>
      <c r="BL15" s="25">
        <v>611.5</v>
      </c>
      <c r="BM15" s="25">
        <v>721</v>
      </c>
      <c r="BN15" s="239">
        <v>41</v>
      </c>
      <c r="BO15" s="239">
        <v>0</v>
      </c>
      <c r="BP15" s="239">
        <v>1</v>
      </c>
      <c r="BQ15" s="25">
        <v>97.619047619047635</v>
      </c>
      <c r="BR15" s="25">
        <v>546.1388888888888</v>
      </c>
      <c r="BS15" s="25">
        <v>0</v>
      </c>
      <c r="BT15" s="33">
        <v>80</v>
      </c>
      <c r="BU15" s="31">
        <v>1</v>
      </c>
      <c r="BV15" s="31">
        <v>3</v>
      </c>
      <c r="BW15" s="72">
        <v>95.238095238095241</v>
      </c>
      <c r="BX15" s="25">
        <v>578.81944444444434</v>
      </c>
      <c r="BY15" s="25">
        <v>721</v>
      </c>
    </row>
    <row r="16" spans="1:79" x14ac:dyDescent="0.2">
      <c r="A16" s="2" t="s">
        <v>115</v>
      </c>
      <c r="B16" s="2" t="s">
        <v>68</v>
      </c>
      <c r="C16" s="564">
        <v>41</v>
      </c>
      <c r="D16" s="564">
        <v>1</v>
      </c>
      <c r="E16" s="564">
        <v>0</v>
      </c>
      <c r="F16" s="564">
        <v>97.619047619047635</v>
      </c>
      <c r="G16" s="564">
        <v>438.5</v>
      </c>
      <c r="H16" s="564">
        <v>432</v>
      </c>
      <c r="I16" s="564">
        <v>42</v>
      </c>
      <c r="J16" s="564">
        <v>0</v>
      </c>
      <c r="K16" s="564">
        <v>0</v>
      </c>
      <c r="L16" s="564">
        <v>100</v>
      </c>
      <c r="M16" s="564">
        <v>480.41666666666669</v>
      </c>
      <c r="N16" s="564" t="s">
        <v>829</v>
      </c>
      <c r="O16" s="564">
        <v>83</v>
      </c>
      <c r="P16" s="564">
        <v>1</v>
      </c>
      <c r="Q16" s="564">
        <v>0</v>
      </c>
      <c r="R16" s="564">
        <v>98.809523809523824</v>
      </c>
      <c r="S16" s="564">
        <v>459.45833333333337</v>
      </c>
      <c r="T16" s="564">
        <v>432</v>
      </c>
      <c r="U16" s="564"/>
      <c r="V16" s="564">
        <v>40</v>
      </c>
      <c r="W16" s="564">
        <v>2</v>
      </c>
      <c r="X16" s="564">
        <v>0</v>
      </c>
      <c r="Y16" s="564">
        <v>95.238095238095241</v>
      </c>
      <c r="Z16" s="564">
        <v>521.08333333333337</v>
      </c>
      <c r="AA16" s="564">
        <v>606.5</v>
      </c>
      <c r="AB16" s="564">
        <v>39</v>
      </c>
      <c r="AC16" s="564">
        <v>3</v>
      </c>
      <c r="AD16" s="564">
        <v>0</v>
      </c>
      <c r="AE16" s="564">
        <v>92.857142857142847</v>
      </c>
      <c r="AF16" s="564">
        <v>675.41666666666663</v>
      </c>
      <c r="AG16" s="564">
        <v>694.5</v>
      </c>
      <c r="AH16" s="564">
        <v>79</v>
      </c>
      <c r="AI16" s="564">
        <v>5</v>
      </c>
      <c r="AJ16" s="564">
        <v>0</v>
      </c>
      <c r="AK16" s="564">
        <v>94.047619047619037</v>
      </c>
      <c r="AL16" s="564">
        <v>598.25</v>
      </c>
      <c r="AM16" s="564">
        <v>650.5</v>
      </c>
      <c r="AN16" s="2" t="s">
        <v>67</v>
      </c>
      <c r="AO16" s="69">
        <v>41</v>
      </c>
      <c r="AP16" s="69">
        <v>1</v>
      </c>
      <c r="AQ16" s="69">
        <v>0</v>
      </c>
      <c r="AR16" s="68">
        <v>97.619047619047635</v>
      </c>
      <c r="AS16" s="68">
        <v>429.25</v>
      </c>
      <c r="AT16" s="68">
        <v>409</v>
      </c>
      <c r="AU16" s="69">
        <v>42</v>
      </c>
      <c r="AV16" s="69">
        <v>0</v>
      </c>
      <c r="AW16" s="69">
        <v>0</v>
      </c>
      <c r="AX16" s="68">
        <v>100</v>
      </c>
      <c r="AY16" s="68">
        <v>433.58333333333331</v>
      </c>
      <c r="AZ16" s="68">
        <v>0</v>
      </c>
      <c r="BA16" s="69">
        <v>83</v>
      </c>
      <c r="BB16" s="69">
        <v>1</v>
      </c>
      <c r="BC16" s="69">
        <v>0</v>
      </c>
      <c r="BD16" s="68">
        <v>98.809523809523824</v>
      </c>
      <c r="BE16" s="68">
        <v>431.41666666666663</v>
      </c>
      <c r="BF16" s="68">
        <v>409</v>
      </c>
      <c r="BH16" s="31">
        <v>36</v>
      </c>
      <c r="BI16" s="31">
        <v>5</v>
      </c>
      <c r="BJ16" s="31">
        <v>1</v>
      </c>
      <c r="BK16" s="25">
        <v>85.714285714285722</v>
      </c>
      <c r="BL16" s="25">
        <v>651.3888888888888</v>
      </c>
      <c r="BM16" s="25">
        <v>813.33333333333337</v>
      </c>
      <c r="BN16" s="239">
        <v>37</v>
      </c>
      <c r="BO16" s="239">
        <v>4</v>
      </c>
      <c r="BP16" s="239">
        <v>1</v>
      </c>
      <c r="BQ16" s="25">
        <v>88.095238095238088</v>
      </c>
      <c r="BR16" s="25">
        <v>625.6111111111112</v>
      </c>
      <c r="BS16" s="25">
        <v>641</v>
      </c>
      <c r="BT16" s="33">
        <v>73</v>
      </c>
      <c r="BU16" s="31">
        <v>9</v>
      </c>
      <c r="BV16" s="31">
        <v>2</v>
      </c>
      <c r="BW16" s="72">
        <v>86.904761904761898</v>
      </c>
      <c r="BX16" s="25">
        <v>638.5</v>
      </c>
      <c r="BY16" s="25">
        <v>727.16666666666674</v>
      </c>
    </row>
    <row r="17" spans="1:77" x14ac:dyDescent="0.2">
      <c r="A17" s="2" t="s">
        <v>116</v>
      </c>
      <c r="B17" s="2" t="s">
        <v>68</v>
      </c>
      <c r="C17" s="564">
        <v>38</v>
      </c>
      <c r="D17" s="564">
        <v>3</v>
      </c>
      <c r="E17" s="564">
        <v>1</v>
      </c>
      <c r="F17" s="550">
        <v>90.476190476190482</v>
      </c>
      <c r="G17" s="550">
        <v>717.88888888888903</v>
      </c>
      <c r="H17" s="550">
        <v>607</v>
      </c>
      <c r="I17" s="564">
        <v>41</v>
      </c>
      <c r="J17" s="564">
        <v>1</v>
      </c>
      <c r="K17" s="564">
        <v>0</v>
      </c>
      <c r="L17" s="550">
        <v>97.619047619047635</v>
      </c>
      <c r="M17" s="550">
        <v>476.41666666666669</v>
      </c>
      <c r="N17" s="550">
        <v>398</v>
      </c>
      <c r="O17" s="564">
        <v>79</v>
      </c>
      <c r="P17" s="564">
        <v>4</v>
      </c>
      <c r="Q17" s="564">
        <v>1</v>
      </c>
      <c r="R17" s="550">
        <v>94.047619047619065</v>
      </c>
      <c r="S17" s="550">
        <v>597.15277777777783</v>
      </c>
      <c r="T17" s="550">
        <v>502.5</v>
      </c>
      <c r="U17" s="564"/>
      <c r="V17" s="564">
        <v>35</v>
      </c>
      <c r="W17" s="564">
        <v>6</v>
      </c>
      <c r="X17" s="564">
        <v>1</v>
      </c>
      <c r="Y17" s="550">
        <v>83.333333333333329</v>
      </c>
      <c r="Z17" s="550">
        <v>695.6111111111112</v>
      </c>
      <c r="AA17" s="550">
        <v>786.9</v>
      </c>
      <c r="AB17" s="564">
        <v>41</v>
      </c>
      <c r="AC17" s="564">
        <v>0</v>
      </c>
      <c r="AD17" s="564">
        <v>1</v>
      </c>
      <c r="AE17" s="550">
        <v>97.619047619047635</v>
      </c>
      <c r="AF17" s="550">
        <v>485.27777777777777</v>
      </c>
      <c r="AG17" s="550">
        <v>0</v>
      </c>
      <c r="AH17" s="564">
        <v>76</v>
      </c>
      <c r="AI17" s="564">
        <v>6</v>
      </c>
      <c r="AJ17" s="564">
        <v>2</v>
      </c>
      <c r="AK17" s="550">
        <v>90.476190476190482</v>
      </c>
      <c r="AL17" s="550">
        <v>590.44444444444446</v>
      </c>
      <c r="AM17" s="550">
        <v>786.9</v>
      </c>
      <c r="AN17" s="2" t="s">
        <v>68</v>
      </c>
      <c r="AO17" s="69">
        <v>31</v>
      </c>
      <c r="AP17" s="69">
        <v>6</v>
      </c>
      <c r="AQ17" s="69">
        <v>5</v>
      </c>
      <c r="AR17" s="68">
        <v>73.80952380952381</v>
      </c>
      <c r="AS17" s="68">
        <v>590.83333333333337</v>
      </c>
      <c r="AT17" s="68">
        <v>506.4</v>
      </c>
      <c r="AU17" s="69">
        <v>40</v>
      </c>
      <c r="AV17" s="69">
        <v>0</v>
      </c>
      <c r="AW17" s="69">
        <v>2</v>
      </c>
      <c r="AX17" s="68">
        <v>95.238095238095241</v>
      </c>
      <c r="AY17" s="68">
        <v>640.75</v>
      </c>
      <c r="AZ17" s="68">
        <v>0</v>
      </c>
      <c r="BA17" s="69">
        <v>71</v>
      </c>
      <c r="BB17" s="69">
        <v>6</v>
      </c>
      <c r="BC17" s="69">
        <v>7</v>
      </c>
      <c r="BD17" s="68">
        <v>84.523809523809518</v>
      </c>
      <c r="BE17" s="68">
        <v>615.79166666666674</v>
      </c>
      <c r="BF17" s="68">
        <v>506.4</v>
      </c>
      <c r="BH17" s="31">
        <v>39</v>
      </c>
      <c r="BI17" s="31">
        <v>1</v>
      </c>
      <c r="BJ17" s="31">
        <v>2</v>
      </c>
      <c r="BK17" s="25">
        <v>92.857142857142847</v>
      </c>
      <c r="BL17" s="25">
        <v>726.58333333333337</v>
      </c>
      <c r="BM17" s="25">
        <v>841</v>
      </c>
      <c r="BN17" s="239">
        <v>37</v>
      </c>
      <c r="BO17" s="239">
        <v>0</v>
      </c>
      <c r="BP17" s="239">
        <v>5</v>
      </c>
      <c r="BQ17" s="25">
        <v>88.095238095238088</v>
      </c>
      <c r="BR17" s="25">
        <v>614.5</v>
      </c>
      <c r="BS17" s="25">
        <v>0</v>
      </c>
      <c r="BT17" s="33">
        <v>76</v>
      </c>
      <c r="BU17" s="31">
        <v>1</v>
      </c>
      <c r="BV17" s="31">
        <v>7</v>
      </c>
      <c r="BW17" s="72">
        <v>90.476190476190467</v>
      </c>
      <c r="BX17" s="25">
        <v>670.54166666666674</v>
      </c>
      <c r="BY17" s="25">
        <v>841</v>
      </c>
    </row>
    <row r="18" spans="1:77" x14ac:dyDescent="0.2">
      <c r="A18" s="2" t="s">
        <v>117</v>
      </c>
      <c r="B18" s="2" t="s">
        <v>831</v>
      </c>
      <c r="C18" s="550">
        <v>42</v>
      </c>
      <c r="D18" s="550">
        <v>0</v>
      </c>
      <c r="E18" s="550">
        <v>0</v>
      </c>
      <c r="F18" s="550">
        <v>100</v>
      </c>
      <c r="G18" s="550">
        <v>502.16666666666669</v>
      </c>
      <c r="H18" s="550" t="s">
        <v>829</v>
      </c>
      <c r="I18" s="564">
        <v>40</v>
      </c>
      <c r="J18" s="564">
        <v>1</v>
      </c>
      <c r="K18" s="564">
        <v>1</v>
      </c>
      <c r="L18" s="564">
        <v>95.238095238095241</v>
      </c>
      <c r="M18" s="564">
        <v>485.5</v>
      </c>
      <c r="N18" s="564">
        <v>198</v>
      </c>
      <c r="O18" s="550">
        <v>82</v>
      </c>
      <c r="P18" s="550">
        <v>1</v>
      </c>
      <c r="Q18" s="550">
        <v>1</v>
      </c>
      <c r="R18" s="564">
        <v>97.61904761904762</v>
      </c>
      <c r="S18" s="564">
        <v>493.83333333333337</v>
      </c>
      <c r="T18" s="564">
        <v>198</v>
      </c>
      <c r="U18" s="564"/>
      <c r="V18" s="550">
        <v>42</v>
      </c>
      <c r="W18" s="550">
        <v>0</v>
      </c>
      <c r="X18" s="550">
        <v>0</v>
      </c>
      <c r="Y18" s="550">
        <v>100</v>
      </c>
      <c r="Z18" s="550">
        <v>515.08333333333337</v>
      </c>
      <c r="AA18" s="550" t="s">
        <v>829</v>
      </c>
      <c r="AB18" s="564">
        <v>42</v>
      </c>
      <c r="AC18" s="564">
        <v>0</v>
      </c>
      <c r="AD18" s="564">
        <v>0</v>
      </c>
      <c r="AE18" s="564">
        <v>100</v>
      </c>
      <c r="AF18" s="564">
        <v>551.83333333333337</v>
      </c>
      <c r="AG18" s="564" t="s">
        <v>829</v>
      </c>
      <c r="AH18" s="550">
        <v>84</v>
      </c>
      <c r="AI18" s="550">
        <v>0</v>
      </c>
      <c r="AJ18" s="550">
        <v>0</v>
      </c>
      <c r="AK18" s="564">
        <v>100</v>
      </c>
      <c r="AL18" s="564">
        <v>533.45833333333337</v>
      </c>
      <c r="AM18" s="564">
        <v>0</v>
      </c>
      <c r="AN18" s="2" t="s">
        <v>68</v>
      </c>
      <c r="AO18" s="69">
        <v>42</v>
      </c>
      <c r="AP18" s="69">
        <v>0</v>
      </c>
      <c r="AQ18" s="69">
        <v>0</v>
      </c>
      <c r="AR18" s="68">
        <v>100</v>
      </c>
      <c r="AS18" s="68">
        <v>508.83333333333331</v>
      </c>
      <c r="AT18" s="68">
        <v>0</v>
      </c>
      <c r="AU18" s="69">
        <v>42</v>
      </c>
      <c r="AV18" s="69">
        <v>0</v>
      </c>
      <c r="AW18" s="69">
        <v>0</v>
      </c>
      <c r="AX18" s="68">
        <v>100</v>
      </c>
      <c r="AY18" s="68">
        <v>561.08333333333337</v>
      </c>
      <c r="AZ18" s="68">
        <v>0</v>
      </c>
      <c r="BA18" s="69">
        <v>84</v>
      </c>
      <c r="BB18" s="69">
        <v>0</v>
      </c>
      <c r="BC18" s="69">
        <v>0</v>
      </c>
      <c r="BD18" s="68">
        <v>100</v>
      </c>
      <c r="BE18" s="68">
        <v>534.95833333333337</v>
      </c>
      <c r="BF18" s="68">
        <v>0</v>
      </c>
      <c r="BH18" s="31">
        <v>42</v>
      </c>
      <c r="BI18" s="31">
        <v>0</v>
      </c>
      <c r="BJ18" s="31">
        <v>0</v>
      </c>
      <c r="BK18" s="25">
        <v>100</v>
      </c>
      <c r="BL18" s="25">
        <v>545.41666666666663</v>
      </c>
      <c r="BM18" s="25">
        <v>0</v>
      </c>
      <c r="BN18" s="239">
        <v>42</v>
      </c>
      <c r="BO18" s="239">
        <v>0</v>
      </c>
      <c r="BP18" s="239">
        <v>0</v>
      </c>
      <c r="BQ18" s="25">
        <v>100</v>
      </c>
      <c r="BR18" s="25">
        <v>529.33333333333337</v>
      </c>
      <c r="BS18" s="25">
        <v>0</v>
      </c>
      <c r="BT18" s="33">
        <v>84</v>
      </c>
      <c r="BU18" s="31">
        <v>0</v>
      </c>
      <c r="BV18" s="31">
        <v>0</v>
      </c>
      <c r="BW18" s="72">
        <v>100</v>
      </c>
      <c r="BX18" s="25">
        <v>537.375</v>
      </c>
      <c r="BY18" s="25">
        <v>0</v>
      </c>
    </row>
    <row r="19" spans="1:77" x14ac:dyDescent="0.2">
      <c r="A19" s="2" t="s">
        <v>171</v>
      </c>
      <c r="C19" s="564"/>
      <c r="D19" s="564"/>
      <c r="E19" s="564"/>
      <c r="F19" s="564"/>
      <c r="G19" s="564"/>
      <c r="H19" s="564"/>
      <c r="I19" s="564"/>
      <c r="J19" s="564"/>
      <c r="K19" s="564"/>
      <c r="L19" s="564"/>
      <c r="M19" s="564"/>
      <c r="N19" s="564"/>
      <c r="O19" s="564"/>
      <c r="P19" s="564"/>
      <c r="Q19" s="564"/>
      <c r="R19" s="564"/>
      <c r="S19" s="564"/>
      <c r="T19" s="564"/>
      <c r="U19" s="564"/>
      <c r="V19" s="564"/>
      <c r="W19" s="564"/>
      <c r="X19" s="564"/>
      <c r="Y19" s="564"/>
      <c r="Z19" s="564"/>
      <c r="AA19" s="564"/>
      <c r="AB19" s="564"/>
      <c r="AC19" s="564"/>
      <c r="AD19" s="564"/>
      <c r="AE19" s="564"/>
      <c r="AF19" s="564"/>
      <c r="AG19" s="564"/>
      <c r="AH19" s="564"/>
      <c r="AI19" s="564"/>
      <c r="AJ19" s="564"/>
      <c r="AK19" s="564"/>
      <c r="AL19" s="564"/>
      <c r="AM19" s="564"/>
      <c r="AN19" s="2" t="s">
        <v>67</v>
      </c>
      <c r="AO19" s="69">
        <v>41</v>
      </c>
      <c r="AP19" s="69">
        <v>1</v>
      </c>
      <c r="AQ19" s="69">
        <v>0</v>
      </c>
      <c r="AR19" s="68">
        <v>97.619047619047635</v>
      </c>
      <c r="AS19" s="68">
        <v>525.33333333333337</v>
      </c>
      <c r="AT19" s="68">
        <v>803</v>
      </c>
      <c r="AU19" s="69">
        <v>42</v>
      </c>
      <c r="AV19" s="69">
        <v>0</v>
      </c>
      <c r="AW19" s="69">
        <v>0</v>
      </c>
      <c r="AX19" s="68">
        <v>100</v>
      </c>
      <c r="AY19" s="68">
        <v>475</v>
      </c>
      <c r="AZ19" s="68">
        <v>0</v>
      </c>
      <c r="BA19" s="69">
        <v>83</v>
      </c>
      <c r="BB19" s="69">
        <v>1</v>
      </c>
      <c r="BC19" s="69">
        <v>0</v>
      </c>
      <c r="BD19" s="68">
        <v>98.809523809523824</v>
      </c>
      <c r="BE19" s="68">
        <v>500.16666666666669</v>
      </c>
      <c r="BF19" s="68">
        <v>803</v>
      </c>
      <c r="BH19" s="31">
        <v>40</v>
      </c>
      <c r="BI19" s="31">
        <v>1</v>
      </c>
      <c r="BJ19" s="31">
        <v>1</v>
      </c>
      <c r="BK19" s="25">
        <v>95.238095238095241</v>
      </c>
      <c r="BL19" s="25">
        <v>679.91666666666663</v>
      </c>
      <c r="BM19" s="25">
        <v>560</v>
      </c>
      <c r="BN19" s="239">
        <v>37</v>
      </c>
      <c r="BO19" s="239">
        <v>1</v>
      </c>
      <c r="BP19" s="239">
        <v>4</v>
      </c>
      <c r="BQ19" s="25">
        <v>88.095238095238088</v>
      </c>
      <c r="BR19" s="25">
        <v>589</v>
      </c>
      <c r="BS19" s="25">
        <v>614</v>
      </c>
      <c r="BT19" s="33">
        <v>77</v>
      </c>
      <c r="BU19" s="31">
        <v>2</v>
      </c>
      <c r="BV19" s="31">
        <v>5</v>
      </c>
      <c r="BW19" s="72">
        <v>91.666666666666657</v>
      </c>
      <c r="BX19" s="25">
        <v>634.45833333333326</v>
      </c>
      <c r="BY19" s="25">
        <v>587</v>
      </c>
    </row>
    <row r="20" spans="1:77" x14ac:dyDescent="0.2">
      <c r="A20" s="2" t="s">
        <v>172</v>
      </c>
      <c r="B20" s="2" t="s">
        <v>68</v>
      </c>
      <c r="C20" s="564">
        <v>41</v>
      </c>
      <c r="D20" s="564">
        <v>1</v>
      </c>
      <c r="E20" s="564">
        <v>0</v>
      </c>
      <c r="F20" s="564">
        <v>97.619047619047635</v>
      </c>
      <c r="G20" s="564">
        <v>458.25</v>
      </c>
      <c r="H20" s="564">
        <v>314</v>
      </c>
      <c r="I20" s="564">
        <v>42</v>
      </c>
      <c r="J20" s="564">
        <v>0</v>
      </c>
      <c r="K20" s="564">
        <v>0</v>
      </c>
      <c r="L20" s="564">
        <v>100</v>
      </c>
      <c r="M20" s="564">
        <v>495</v>
      </c>
      <c r="N20" s="564" t="s">
        <v>829</v>
      </c>
      <c r="O20" s="564">
        <v>83</v>
      </c>
      <c r="P20" s="564">
        <v>1</v>
      </c>
      <c r="Q20" s="564">
        <v>0</v>
      </c>
      <c r="R20" s="564">
        <v>98.809523809523824</v>
      </c>
      <c r="S20" s="564">
        <v>476.625</v>
      </c>
      <c r="T20" s="564">
        <v>314</v>
      </c>
      <c r="U20" s="564"/>
      <c r="V20" s="564">
        <v>42</v>
      </c>
      <c r="W20" s="564">
        <v>0</v>
      </c>
      <c r="X20" s="564">
        <v>0</v>
      </c>
      <c r="Y20" s="564">
        <v>100</v>
      </c>
      <c r="Z20" s="564">
        <v>497.75</v>
      </c>
      <c r="AA20" s="564" t="s">
        <v>829</v>
      </c>
      <c r="AB20" s="564">
        <v>42</v>
      </c>
      <c r="AC20" s="564">
        <v>0</v>
      </c>
      <c r="AD20" s="564">
        <v>0</v>
      </c>
      <c r="AE20" s="564">
        <v>100</v>
      </c>
      <c r="AF20" s="564">
        <v>465</v>
      </c>
      <c r="AG20" s="564" t="s">
        <v>829</v>
      </c>
      <c r="AH20" s="564">
        <v>84</v>
      </c>
      <c r="AI20" s="564">
        <v>0</v>
      </c>
      <c r="AJ20" s="564">
        <v>0</v>
      </c>
      <c r="AK20" s="564">
        <v>100</v>
      </c>
      <c r="AL20" s="564">
        <v>481.375</v>
      </c>
      <c r="AM20" s="564">
        <v>0</v>
      </c>
      <c r="AN20" s="2" t="s">
        <v>67</v>
      </c>
      <c r="AO20" s="69">
        <v>42</v>
      </c>
      <c r="AP20" s="69">
        <v>0</v>
      </c>
      <c r="AQ20" s="69">
        <v>0</v>
      </c>
      <c r="AR20" s="68">
        <v>100</v>
      </c>
      <c r="AS20" s="68">
        <v>500.16666666666669</v>
      </c>
      <c r="AT20" s="68">
        <v>0</v>
      </c>
      <c r="AU20" s="69">
        <v>42</v>
      </c>
      <c r="AV20" s="69">
        <v>0</v>
      </c>
      <c r="AW20" s="69">
        <v>0</v>
      </c>
      <c r="AX20" s="68">
        <v>100</v>
      </c>
      <c r="AY20" s="68">
        <v>559.83333333333337</v>
      </c>
      <c r="AZ20" s="68">
        <v>0</v>
      </c>
      <c r="BA20" s="69">
        <v>84</v>
      </c>
      <c r="BB20" s="69">
        <v>0</v>
      </c>
      <c r="BC20" s="69">
        <v>0</v>
      </c>
      <c r="BD20" s="68">
        <v>100</v>
      </c>
      <c r="BE20" s="68">
        <v>530</v>
      </c>
      <c r="BF20" s="68">
        <v>0</v>
      </c>
      <c r="BH20" s="31">
        <v>38</v>
      </c>
      <c r="BI20" s="31">
        <v>1</v>
      </c>
      <c r="BJ20" s="31">
        <v>3</v>
      </c>
      <c r="BK20" s="25">
        <v>90.476190476190482</v>
      </c>
      <c r="BL20" s="25">
        <v>594.16666666666663</v>
      </c>
      <c r="BM20" s="25">
        <v>892</v>
      </c>
      <c r="BN20" s="239">
        <v>42</v>
      </c>
      <c r="BO20" s="239">
        <v>0</v>
      </c>
      <c r="BP20" s="239">
        <v>0</v>
      </c>
      <c r="BQ20" s="25">
        <v>100</v>
      </c>
      <c r="BR20" s="25">
        <v>502.25</v>
      </c>
      <c r="BS20" s="25">
        <v>0</v>
      </c>
      <c r="BT20" s="33">
        <v>80</v>
      </c>
      <c r="BU20" s="31">
        <v>1</v>
      </c>
      <c r="BV20" s="31">
        <v>3</v>
      </c>
      <c r="BW20" s="72">
        <v>95.238095238095241</v>
      </c>
      <c r="BX20" s="25">
        <v>548.20833333333326</v>
      </c>
      <c r="BY20" s="25">
        <v>892</v>
      </c>
    </row>
    <row r="21" spans="1:77" x14ac:dyDescent="0.2">
      <c r="A21" s="2" t="s">
        <v>173</v>
      </c>
      <c r="B21" s="2" t="s">
        <v>831</v>
      </c>
      <c r="C21" s="564">
        <v>40</v>
      </c>
      <c r="D21" s="564">
        <v>0</v>
      </c>
      <c r="E21" s="564">
        <v>2</v>
      </c>
      <c r="F21" s="564">
        <v>95.238095238095241</v>
      </c>
      <c r="G21" s="564">
        <v>415.5</v>
      </c>
      <c r="H21" s="564" t="s">
        <v>829</v>
      </c>
      <c r="I21" s="564">
        <v>40</v>
      </c>
      <c r="J21" s="564">
        <v>1</v>
      </c>
      <c r="K21" s="564">
        <v>1</v>
      </c>
      <c r="L21" s="564">
        <v>95.238095238095241</v>
      </c>
      <c r="M21" s="564">
        <v>557.3611111111112</v>
      </c>
      <c r="N21" s="564">
        <v>694</v>
      </c>
      <c r="O21" s="564">
        <v>80</v>
      </c>
      <c r="P21" s="564">
        <v>1</v>
      </c>
      <c r="Q21" s="564">
        <v>3</v>
      </c>
      <c r="R21" s="564">
        <v>95.238095238095241</v>
      </c>
      <c r="S21" s="564">
        <v>486.4305555555556</v>
      </c>
      <c r="T21" s="564">
        <v>694</v>
      </c>
      <c r="U21" s="564"/>
      <c r="V21" s="564">
        <v>38</v>
      </c>
      <c r="W21" s="564">
        <v>2</v>
      </c>
      <c r="X21" s="564">
        <v>2</v>
      </c>
      <c r="Y21" s="564">
        <v>90.476190476190482</v>
      </c>
      <c r="Z21" s="564">
        <v>444.91666666666669</v>
      </c>
      <c r="AA21" s="564">
        <v>1663.5</v>
      </c>
      <c r="AB21" s="564">
        <v>39</v>
      </c>
      <c r="AC21" s="564">
        <v>1</v>
      </c>
      <c r="AD21" s="564">
        <v>2</v>
      </c>
      <c r="AE21" s="564">
        <v>92.857142857142847</v>
      </c>
      <c r="AF21" s="564">
        <v>528.75</v>
      </c>
      <c r="AG21" s="564">
        <v>1810</v>
      </c>
      <c r="AH21" s="564">
        <v>77</v>
      </c>
      <c r="AI21" s="564">
        <v>3</v>
      </c>
      <c r="AJ21" s="564">
        <v>4</v>
      </c>
      <c r="AK21" s="564">
        <v>91.666666666666657</v>
      </c>
      <c r="AL21" s="564">
        <v>486.83333333333337</v>
      </c>
      <c r="AM21" s="564">
        <v>1736.75</v>
      </c>
      <c r="AN21" s="2" t="s">
        <v>68</v>
      </c>
      <c r="AO21" s="69">
        <v>42</v>
      </c>
      <c r="AP21" s="69">
        <v>0</v>
      </c>
      <c r="AQ21" s="69">
        <v>0</v>
      </c>
      <c r="AR21" s="68">
        <v>100</v>
      </c>
      <c r="AS21" s="68">
        <v>431.08333333333331</v>
      </c>
      <c r="AT21" s="68">
        <v>0</v>
      </c>
      <c r="AU21" s="69">
        <v>42</v>
      </c>
      <c r="AV21" s="69">
        <v>0</v>
      </c>
      <c r="AW21" s="69">
        <v>0</v>
      </c>
      <c r="AX21" s="68">
        <v>100</v>
      </c>
      <c r="AY21" s="68">
        <v>381.91666666666669</v>
      </c>
      <c r="AZ21" s="68">
        <v>0</v>
      </c>
      <c r="BA21" s="69">
        <v>84</v>
      </c>
      <c r="BB21" s="69">
        <v>0</v>
      </c>
      <c r="BC21" s="69">
        <v>0</v>
      </c>
      <c r="BD21" s="25">
        <v>100</v>
      </c>
      <c r="BE21" s="25">
        <v>406.5</v>
      </c>
      <c r="BF21" s="37">
        <v>0</v>
      </c>
      <c r="BH21" s="31">
        <v>42</v>
      </c>
      <c r="BI21" s="31">
        <v>0</v>
      </c>
      <c r="BJ21" s="31">
        <v>0</v>
      </c>
      <c r="BK21" s="25">
        <v>100</v>
      </c>
      <c r="BL21" s="25">
        <v>474.66666666666669</v>
      </c>
      <c r="BM21" s="25">
        <v>0</v>
      </c>
      <c r="BN21" s="239">
        <v>42</v>
      </c>
      <c r="BO21" s="239">
        <v>0</v>
      </c>
      <c r="BP21" s="239">
        <v>0</v>
      </c>
      <c r="BQ21" s="25">
        <v>100</v>
      </c>
      <c r="BR21" s="25">
        <v>394.66666666666669</v>
      </c>
      <c r="BS21" s="25">
        <v>0</v>
      </c>
      <c r="BT21" s="33">
        <v>84</v>
      </c>
      <c r="BU21" s="31">
        <v>0</v>
      </c>
      <c r="BV21" s="31">
        <v>0</v>
      </c>
      <c r="BW21" s="72">
        <v>100</v>
      </c>
      <c r="BX21" s="25">
        <v>434.66666666666669</v>
      </c>
      <c r="BY21" s="25">
        <v>0</v>
      </c>
    </row>
    <row r="22" spans="1:77" x14ac:dyDescent="0.2">
      <c r="A22" s="2" t="s">
        <v>199</v>
      </c>
      <c r="B22" s="2" t="s">
        <v>831</v>
      </c>
      <c r="C22" s="564">
        <v>42</v>
      </c>
      <c r="D22" s="564">
        <v>0</v>
      </c>
      <c r="E22" s="564">
        <v>0</v>
      </c>
      <c r="F22" s="564">
        <v>100</v>
      </c>
      <c r="G22" s="564">
        <v>444.33333333333331</v>
      </c>
      <c r="H22" s="564" t="s">
        <v>829</v>
      </c>
      <c r="I22" s="564">
        <v>42</v>
      </c>
      <c r="J22" s="564">
        <v>0</v>
      </c>
      <c r="K22" s="564">
        <v>0</v>
      </c>
      <c r="L22" s="564">
        <v>100</v>
      </c>
      <c r="M22" s="564">
        <v>482.33333333333331</v>
      </c>
      <c r="N22" s="564" t="s">
        <v>829</v>
      </c>
      <c r="O22" s="564">
        <v>84</v>
      </c>
      <c r="P22" s="564">
        <v>0</v>
      </c>
      <c r="Q22" s="564">
        <v>0</v>
      </c>
      <c r="R22" s="564">
        <v>100</v>
      </c>
      <c r="S22" s="564">
        <v>463.33333333333331</v>
      </c>
      <c r="T22" s="564">
        <v>0</v>
      </c>
      <c r="U22" s="564"/>
      <c r="V22" s="564">
        <v>40</v>
      </c>
      <c r="W22" s="564">
        <v>1</v>
      </c>
      <c r="X22" s="564">
        <v>1</v>
      </c>
      <c r="Y22" s="564">
        <v>95.238095238095241</v>
      </c>
      <c r="Z22" s="564">
        <v>641.08333333333337</v>
      </c>
      <c r="AA22" s="564">
        <v>840</v>
      </c>
      <c r="AB22" s="564">
        <v>41</v>
      </c>
      <c r="AC22" s="564">
        <v>1</v>
      </c>
      <c r="AD22" s="564">
        <v>0</v>
      </c>
      <c r="AE22" s="564">
        <v>97.619047619047635</v>
      </c>
      <c r="AF22" s="564">
        <v>554.83333333333337</v>
      </c>
      <c r="AG22" s="564">
        <v>662</v>
      </c>
      <c r="AH22" s="564">
        <v>81</v>
      </c>
      <c r="AI22" s="564">
        <v>2</v>
      </c>
      <c r="AJ22" s="564">
        <v>1</v>
      </c>
      <c r="AK22" s="564">
        <v>96.428571428571445</v>
      </c>
      <c r="AL22" s="564">
        <v>597.95833333333337</v>
      </c>
      <c r="AM22" s="564">
        <v>751</v>
      </c>
      <c r="AN22" s="2" t="s">
        <v>68</v>
      </c>
      <c r="AO22" s="69">
        <v>41</v>
      </c>
      <c r="AP22" s="69">
        <v>0</v>
      </c>
      <c r="AQ22" s="69">
        <v>1</v>
      </c>
      <c r="AR22" s="68">
        <v>97.619047619047635</v>
      </c>
      <c r="AS22" s="68">
        <v>401.36111111111109</v>
      </c>
      <c r="AT22" s="68">
        <v>0</v>
      </c>
      <c r="AU22" s="69">
        <v>41</v>
      </c>
      <c r="AV22" s="69">
        <v>1</v>
      </c>
      <c r="AW22" s="69">
        <v>0</v>
      </c>
      <c r="AX22" s="68">
        <v>97.619047619047635</v>
      </c>
      <c r="AY22" s="68">
        <v>434.5</v>
      </c>
      <c r="AZ22" s="68">
        <v>402</v>
      </c>
      <c r="BA22" s="69">
        <v>82</v>
      </c>
      <c r="BB22" s="69">
        <v>1</v>
      </c>
      <c r="BC22" s="69">
        <v>1</v>
      </c>
      <c r="BD22" s="68">
        <v>97.619047619047635</v>
      </c>
      <c r="BE22" s="68">
        <v>417.93055555555554</v>
      </c>
      <c r="BF22" s="68">
        <v>402</v>
      </c>
      <c r="BH22" s="31">
        <v>42</v>
      </c>
      <c r="BI22" s="31">
        <v>0</v>
      </c>
      <c r="BJ22" s="31">
        <v>0</v>
      </c>
      <c r="BK22" s="25">
        <v>100</v>
      </c>
      <c r="BL22" s="25">
        <v>563.5</v>
      </c>
      <c r="BM22" s="25">
        <v>0</v>
      </c>
      <c r="BN22" s="239">
        <v>41</v>
      </c>
      <c r="BO22" s="239">
        <v>1</v>
      </c>
      <c r="BP22" s="239">
        <v>0</v>
      </c>
      <c r="BQ22" s="25">
        <v>97.619047619047635</v>
      </c>
      <c r="BR22" s="25">
        <v>702.91666666666663</v>
      </c>
      <c r="BS22" s="25">
        <v>765</v>
      </c>
      <c r="BT22" s="33">
        <v>83</v>
      </c>
      <c r="BU22" s="31">
        <v>1</v>
      </c>
      <c r="BV22" s="31">
        <v>0</v>
      </c>
      <c r="BW22" s="72">
        <v>98.809523809523824</v>
      </c>
      <c r="BX22" s="25">
        <v>633.20833333333326</v>
      </c>
      <c r="BY22" s="25">
        <v>765</v>
      </c>
    </row>
    <row r="23" spans="1:77" x14ac:dyDescent="0.2">
      <c r="A23" s="2" t="s">
        <v>200</v>
      </c>
      <c r="B23" s="2" t="s">
        <v>68</v>
      </c>
      <c r="C23" s="564">
        <v>42</v>
      </c>
      <c r="D23" s="564">
        <v>0</v>
      </c>
      <c r="E23" s="564">
        <v>0</v>
      </c>
      <c r="F23" s="564">
        <v>100</v>
      </c>
      <c r="G23" s="564">
        <v>461.16666666666669</v>
      </c>
      <c r="H23" s="564" t="s">
        <v>829</v>
      </c>
      <c r="I23" s="564">
        <v>42</v>
      </c>
      <c r="J23" s="564">
        <v>0</v>
      </c>
      <c r="K23" s="564">
        <v>0</v>
      </c>
      <c r="L23" s="564">
        <v>100</v>
      </c>
      <c r="M23" s="564">
        <v>569.41666666666663</v>
      </c>
      <c r="N23" s="564" t="s">
        <v>829</v>
      </c>
      <c r="O23" s="564">
        <v>84</v>
      </c>
      <c r="P23" s="564">
        <v>0</v>
      </c>
      <c r="Q23" s="564">
        <v>0</v>
      </c>
      <c r="R23" s="564">
        <v>100</v>
      </c>
      <c r="S23" s="564">
        <v>515.29166666666663</v>
      </c>
      <c r="T23" s="564">
        <v>0</v>
      </c>
      <c r="U23" s="564"/>
      <c r="V23" s="564">
        <v>42</v>
      </c>
      <c r="W23" s="564">
        <v>0</v>
      </c>
      <c r="X23" s="564">
        <v>0</v>
      </c>
      <c r="Y23" s="564">
        <v>100</v>
      </c>
      <c r="Z23" s="564">
        <v>558.83333333333337</v>
      </c>
      <c r="AA23" s="564" t="s">
        <v>829</v>
      </c>
      <c r="AB23" s="564">
        <v>41</v>
      </c>
      <c r="AC23" s="564">
        <v>0</v>
      </c>
      <c r="AD23" s="564">
        <v>1</v>
      </c>
      <c r="AE23" s="564">
        <v>97.619047619047635</v>
      </c>
      <c r="AF23" s="564">
        <v>483.47222222222223</v>
      </c>
      <c r="AG23" s="564" t="s">
        <v>829</v>
      </c>
      <c r="AH23" s="564">
        <v>83</v>
      </c>
      <c r="AI23" s="564">
        <v>0</v>
      </c>
      <c r="AJ23" s="564">
        <v>1</v>
      </c>
      <c r="AK23" s="564">
        <v>98.809523809523824</v>
      </c>
      <c r="AL23" s="564">
        <v>521.15277777777783</v>
      </c>
      <c r="AM23" s="564">
        <v>0</v>
      </c>
      <c r="AN23" s="2" t="s">
        <v>67</v>
      </c>
      <c r="AO23" s="69">
        <v>42</v>
      </c>
      <c r="AP23" s="69">
        <v>0</v>
      </c>
      <c r="AQ23" s="69">
        <v>0</v>
      </c>
      <c r="AR23" s="68">
        <v>100</v>
      </c>
      <c r="AS23" s="68">
        <v>459.91666666666669</v>
      </c>
      <c r="AT23" s="68">
        <v>0</v>
      </c>
      <c r="AU23" s="69">
        <v>41</v>
      </c>
      <c r="AV23" s="69">
        <v>1</v>
      </c>
      <c r="AW23" s="69">
        <v>0</v>
      </c>
      <c r="AX23" s="68">
        <v>97.619047619047635</v>
      </c>
      <c r="AY23" s="68">
        <v>542.41666666666663</v>
      </c>
      <c r="AZ23" s="68">
        <v>475</v>
      </c>
      <c r="BA23" s="69">
        <v>83</v>
      </c>
      <c r="BB23" s="69">
        <v>1</v>
      </c>
      <c r="BC23" s="69">
        <v>0</v>
      </c>
      <c r="BD23" s="68">
        <v>98.809523809523824</v>
      </c>
      <c r="BE23" s="68">
        <v>501.16666666666663</v>
      </c>
      <c r="BF23" s="68">
        <v>475</v>
      </c>
      <c r="BH23" s="31">
        <v>42</v>
      </c>
      <c r="BI23" s="31">
        <v>0</v>
      </c>
      <c r="BJ23" s="31">
        <v>0</v>
      </c>
      <c r="BK23" s="25">
        <v>100</v>
      </c>
      <c r="BL23" s="25">
        <v>603.08333333333337</v>
      </c>
      <c r="BM23" s="25">
        <v>0</v>
      </c>
      <c r="BN23" s="239">
        <v>42</v>
      </c>
      <c r="BO23" s="239">
        <v>0</v>
      </c>
      <c r="BP23" s="239">
        <v>0</v>
      </c>
      <c r="BQ23" s="25">
        <v>100</v>
      </c>
      <c r="BR23" s="25">
        <v>612.75</v>
      </c>
      <c r="BS23" s="25">
        <v>0</v>
      </c>
      <c r="BT23" s="33">
        <v>84</v>
      </c>
      <c r="BU23" s="31">
        <v>0</v>
      </c>
      <c r="BV23" s="31">
        <v>0</v>
      </c>
      <c r="BW23" s="72">
        <v>100</v>
      </c>
      <c r="BX23" s="25">
        <v>607.91666666666674</v>
      </c>
      <c r="BY23" s="25">
        <v>0</v>
      </c>
    </row>
    <row r="24" spans="1:77" x14ac:dyDescent="0.2">
      <c r="A24" s="2" t="s">
        <v>201</v>
      </c>
      <c r="B24" s="2" t="s">
        <v>68</v>
      </c>
      <c r="C24" s="564">
        <v>42</v>
      </c>
      <c r="D24" s="564">
        <v>0</v>
      </c>
      <c r="E24" s="564">
        <v>0</v>
      </c>
      <c r="F24" s="564">
        <v>100</v>
      </c>
      <c r="G24" s="564">
        <v>425</v>
      </c>
      <c r="H24" s="564" t="s">
        <v>829</v>
      </c>
      <c r="I24" s="564">
        <v>42</v>
      </c>
      <c r="J24" s="564">
        <v>0</v>
      </c>
      <c r="K24" s="564">
        <v>0</v>
      </c>
      <c r="L24" s="564">
        <v>100</v>
      </c>
      <c r="M24" s="564">
        <v>457.16666666666669</v>
      </c>
      <c r="N24" s="564" t="s">
        <v>829</v>
      </c>
      <c r="O24" s="564">
        <v>84</v>
      </c>
      <c r="P24" s="564">
        <v>0</v>
      </c>
      <c r="Q24" s="564">
        <v>0</v>
      </c>
      <c r="R24" s="564">
        <v>100</v>
      </c>
      <c r="S24" s="564">
        <v>441.08333333333337</v>
      </c>
      <c r="T24" s="564">
        <v>0</v>
      </c>
      <c r="U24" s="564"/>
      <c r="V24" s="564">
        <v>41</v>
      </c>
      <c r="W24" s="564">
        <v>0</v>
      </c>
      <c r="X24" s="564">
        <v>1</v>
      </c>
      <c r="Y24" s="564">
        <v>97.619047619047635</v>
      </c>
      <c r="Z24" s="564">
        <v>423.0555555555556</v>
      </c>
      <c r="AA24" s="564" t="s">
        <v>829</v>
      </c>
      <c r="AB24" s="564">
        <v>42</v>
      </c>
      <c r="AC24" s="564">
        <v>0</v>
      </c>
      <c r="AD24" s="564">
        <v>0</v>
      </c>
      <c r="AE24" s="564">
        <v>100</v>
      </c>
      <c r="AF24" s="564">
        <v>453.25</v>
      </c>
      <c r="AG24" s="564" t="s">
        <v>829</v>
      </c>
      <c r="AH24" s="564">
        <v>83</v>
      </c>
      <c r="AI24" s="564">
        <v>0</v>
      </c>
      <c r="AJ24" s="564">
        <v>1</v>
      </c>
      <c r="AK24" s="564">
        <v>98.809523809523824</v>
      </c>
      <c r="AL24" s="564">
        <v>438.15277777777783</v>
      </c>
      <c r="AM24" s="564">
        <v>0</v>
      </c>
      <c r="AN24" s="2" t="s">
        <v>67</v>
      </c>
      <c r="AO24" s="69">
        <v>42</v>
      </c>
      <c r="AP24" s="69">
        <v>0</v>
      </c>
      <c r="AQ24" s="69">
        <v>0</v>
      </c>
      <c r="AR24" s="68">
        <v>100</v>
      </c>
      <c r="AS24" s="68">
        <v>435.83333333333331</v>
      </c>
      <c r="AT24" s="68">
        <v>0</v>
      </c>
      <c r="AU24" s="69">
        <v>42</v>
      </c>
      <c r="AV24" s="69">
        <v>0</v>
      </c>
      <c r="AW24" s="69">
        <v>0</v>
      </c>
      <c r="AX24" s="68">
        <v>100</v>
      </c>
      <c r="AY24" s="68">
        <v>393.58333333333331</v>
      </c>
      <c r="AZ24" s="68">
        <v>0</v>
      </c>
      <c r="BA24" s="69">
        <v>84</v>
      </c>
      <c r="BB24" s="69">
        <v>0</v>
      </c>
      <c r="BC24" s="69">
        <v>0</v>
      </c>
      <c r="BD24" s="25">
        <v>100</v>
      </c>
      <c r="BE24" s="25">
        <v>414.70833333333331</v>
      </c>
      <c r="BF24" s="37">
        <v>0</v>
      </c>
      <c r="BH24" s="31">
        <v>42</v>
      </c>
      <c r="BI24" s="31">
        <v>0</v>
      </c>
      <c r="BJ24" s="31">
        <v>0</v>
      </c>
      <c r="BK24" s="25">
        <v>100</v>
      </c>
      <c r="BL24" s="25">
        <v>484.66666666666669</v>
      </c>
      <c r="BM24" s="25">
        <v>0</v>
      </c>
      <c r="BN24" s="239">
        <v>42</v>
      </c>
      <c r="BO24" s="239">
        <v>0</v>
      </c>
      <c r="BP24" s="239">
        <v>0</v>
      </c>
      <c r="BQ24" s="25">
        <v>100</v>
      </c>
      <c r="BR24" s="25">
        <v>428.75</v>
      </c>
      <c r="BS24" s="25">
        <v>0</v>
      </c>
      <c r="BT24" s="33">
        <v>84</v>
      </c>
      <c r="BU24" s="31">
        <v>0</v>
      </c>
      <c r="BV24" s="31">
        <v>0</v>
      </c>
      <c r="BW24" s="72">
        <v>100</v>
      </c>
      <c r="BX24" s="25">
        <v>456.70833333333337</v>
      </c>
      <c r="BY24" s="25">
        <v>0</v>
      </c>
    </row>
    <row r="25" spans="1:77" x14ac:dyDescent="0.2">
      <c r="A25" s="2" t="s">
        <v>202</v>
      </c>
      <c r="B25" s="2" t="s">
        <v>831</v>
      </c>
      <c r="C25" s="564">
        <v>42</v>
      </c>
      <c r="D25" s="564">
        <v>0</v>
      </c>
      <c r="E25" s="564">
        <v>0</v>
      </c>
      <c r="F25" s="564">
        <v>100</v>
      </c>
      <c r="G25" s="564">
        <v>569.33333333333337</v>
      </c>
      <c r="H25" s="564" t="s">
        <v>829</v>
      </c>
      <c r="I25" s="564">
        <v>38</v>
      </c>
      <c r="J25" s="564">
        <v>0</v>
      </c>
      <c r="K25" s="564">
        <v>4</v>
      </c>
      <c r="L25" s="564">
        <v>90.476190476190482</v>
      </c>
      <c r="M25" s="564">
        <v>360.83333333333331</v>
      </c>
      <c r="N25" s="564" t="s">
        <v>829</v>
      </c>
      <c r="O25" s="564">
        <v>80</v>
      </c>
      <c r="P25" s="564">
        <v>0</v>
      </c>
      <c r="Q25" s="564">
        <v>4</v>
      </c>
      <c r="R25" s="564">
        <v>95.238095238095241</v>
      </c>
      <c r="S25" s="564">
        <v>465.08333333333337</v>
      </c>
      <c r="T25" s="564">
        <v>0</v>
      </c>
      <c r="U25" s="564"/>
      <c r="V25" s="564">
        <v>35</v>
      </c>
      <c r="W25" s="564">
        <v>2</v>
      </c>
      <c r="X25" s="564">
        <v>5</v>
      </c>
      <c r="Y25" s="564">
        <v>83.333333333333329</v>
      </c>
      <c r="Z25" s="564">
        <v>393.11111111111109</v>
      </c>
      <c r="AA25" s="564">
        <v>792</v>
      </c>
      <c r="AB25" s="564">
        <v>39</v>
      </c>
      <c r="AC25" s="564">
        <v>2</v>
      </c>
      <c r="AD25" s="564">
        <v>1</v>
      </c>
      <c r="AE25" s="564">
        <v>92.857142857142847</v>
      </c>
      <c r="AF25" s="564">
        <v>696.02777777777783</v>
      </c>
      <c r="AG25" s="564">
        <v>676</v>
      </c>
      <c r="AH25" s="564">
        <v>74</v>
      </c>
      <c r="AI25" s="564">
        <v>4</v>
      </c>
      <c r="AJ25" s="564">
        <v>6</v>
      </c>
      <c r="AK25" s="564">
        <v>88.095238095238088</v>
      </c>
      <c r="AL25" s="564">
        <v>544.56944444444446</v>
      </c>
      <c r="AM25" s="564">
        <v>734</v>
      </c>
      <c r="AN25" s="2" t="s">
        <v>68</v>
      </c>
      <c r="AO25" s="69">
        <v>37</v>
      </c>
      <c r="AP25" s="69">
        <v>3</v>
      </c>
      <c r="AQ25" s="69">
        <v>2</v>
      </c>
      <c r="AR25" s="68">
        <v>88.095238095238088</v>
      </c>
      <c r="AS25" s="68">
        <v>487.69444444444451</v>
      </c>
      <c r="AT25" s="68">
        <v>502.33333333333331</v>
      </c>
      <c r="AU25" s="69">
        <v>42</v>
      </c>
      <c r="AV25" s="69">
        <v>0</v>
      </c>
      <c r="AW25" s="69">
        <v>0</v>
      </c>
      <c r="AX25" s="68">
        <v>100</v>
      </c>
      <c r="AY25" s="68">
        <v>610.66666666666663</v>
      </c>
      <c r="AZ25" s="68">
        <v>0</v>
      </c>
      <c r="BA25" s="69">
        <v>79</v>
      </c>
      <c r="BB25" s="69">
        <v>3</v>
      </c>
      <c r="BC25" s="69">
        <v>2</v>
      </c>
      <c r="BD25" s="68">
        <v>94.047619047619037</v>
      </c>
      <c r="BE25" s="68">
        <v>549.18055555555554</v>
      </c>
      <c r="BF25" s="68">
        <v>502.33333333333331</v>
      </c>
      <c r="BH25" s="31">
        <v>33</v>
      </c>
      <c r="BI25" s="31">
        <v>6</v>
      </c>
      <c r="BJ25" s="31">
        <v>3</v>
      </c>
      <c r="BK25" s="25">
        <v>78.571428571428569</v>
      </c>
      <c r="BL25" s="25">
        <v>734.77777777777783</v>
      </c>
      <c r="BM25" s="25">
        <v>808.3888888888888</v>
      </c>
      <c r="BN25" s="239">
        <v>35</v>
      </c>
      <c r="BO25" s="239">
        <v>2</v>
      </c>
      <c r="BP25" s="239">
        <v>5</v>
      </c>
      <c r="BQ25" s="25">
        <v>83.333333333333329</v>
      </c>
      <c r="BR25" s="25">
        <v>730.83333333333337</v>
      </c>
      <c r="BS25" s="25">
        <v>928.5</v>
      </c>
      <c r="BT25" s="33">
        <v>68</v>
      </c>
      <c r="BU25" s="31">
        <v>8</v>
      </c>
      <c r="BV25" s="31">
        <v>8</v>
      </c>
      <c r="BW25" s="72">
        <v>80.952380952380949</v>
      </c>
      <c r="BX25" s="25">
        <v>732.80555555555566</v>
      </c>
      <c r="BY25" s="25">
        <v>868.44444444444434</v>
      </c>
    </row>
    <row r="26" spans="1:77" x14ac:dyDescent="0.2">
      <c r="A26" s="2" t="s">
        <v>203</v>
      </c>
      <c r="B26" s="2" t="s">
        <v>831</v>
      </c>
      <c r="C26" s="564">
        <v>42</v>
      </c>
      <c r="D26" s="564">
        <v>0</v>
      </c>
      <c r="E26" s="564">
        <v>0</v>
      </c>
      <c r="F26" s="564">
        <v>100</v>
      </c>
      <c r="G26" s="564">
        <v>449.75</v>
      </c>
      <c r="H26" s="564" t="s">
        <v>829</v>
      </c>
      <c r="I26" s="564">
        <v>42</v>
      </c>
      <c r="J26" s="564">
        <v>0</v>
      </c>
      <c r="K26" s="564">
        <v>0</v>
      </c>
      <c r="L26" s="564">
        <v>100</v>
      </c>
      <c r="M26" s="564">
        <v>487.5</v>
      </c>
      <c r="N26" s="564" t="s">
        <v>829</v>
      </c>
      <c r="O26" s="564">
        <v>84</v>
      </c>
      <c r="P26" s="564">
        <v>0</v>
      </c>
      <c r="Q26" s="564">
        <v>0</v>
      </c>
      <c r="R26" s="564">
        <v>100</v>
      </c>
      <c r="S26" s="564">
        <v>468.625</v>
      </c>
      <c r="T26" s="564">
        <v>0</v>
      </c>
      <c r="U26" s="564"/>
      <c r="V26" s="564">
        <v>37</v>
      </c>
      <c r="W26" s="564">
        <v>2</v>
      </c>
      <c r="X26" s="564">
        <v>3</v>
      </c>
      <c r="Y26" s="564">
        <v>88.095238095238116</v>
      </c>
      <c r="Z26" s="564">
        <v>613.08333333333337</v>
      </c>
      <c r="AA26" s="564">
        <v>498.5</v>
      </c>
      <c r="AB26" s="564">
        <v>40</v>
      </c>
      <c r="AC26" s="564">
        <v>0</v>
      </c>
      <c r="AD26" s="564">
        <v>2</v>
      </c>
      <c r="AE26" s="564">
        <v>95.238095238095241</v>
      </c>
      <c r="AF26" s="564">
        <v>740.11111111111097</v>
      </c>
      <c r="AG26" s="564" t="s">
        <v>829</v>
      </c>
      <c r="AH26" s="564">
        <v>77</v>
      </c>
      <c r="AI26" s="564">
        <v>2</v>
      </c>
      <c r="AJ26" s="564">
        <v>5</v>
      </c>
      <c r="AK26" s="564">
        <v>91.666666666666686</v>
      </c>
      <c r="AL26" s="564">
        <v>676.59722222222217</v>
      </c>
      <c r="AM26" s="564">
        <v>498.5</v>
      </c>
      <c r="AN26" s="2" t="s">
        <v>68</v>
      </c>
      <c r="AO26" s="69">
        <v>42</v>
      </c>
      <c r="AP26" s="69">
        <v>0</v>
      </c>
      <c r="AQ26" s="69">
        <v>0</v>
      </c>
      <c r="AR26" s="68">
        <v>100</v>
      </c>
      <c r="AS26" s="68">
        <v>459.5</v>
      </c>
      <c r="AT26" s="68">
        <v>0</v>
      </c>
      <c r="AU26" s="69">
        <v>42</v>
      </c>
      <c r="AV26" s="69">
        <v>0</v>
      </c>
      <c r="AW26" s="69">
        <v>0</v>
      </c>
      <c r="AX26" s="68">
        <v>100</v>
      </c>
      <c r="AY26" s="68">
        <v>508.16666666666669</v>
      </c>
      <c r="AZ26" s="68">
        <v>0</v>
      </c>
      <c r="BA26" s="69">
        <v>84</v>
      </c>
      <c r="BB26" s="69">
        <v>0</v>
      </c>
      <c r="BC26" s="69">
        <v>0</v>
      </c>
      <c r="BD26" s="68">
        <v>100</v>
      </c>
      <c r="BE26" s="68">
        <v>483.83333333333337</v>
      </c>
      <c r="BF26" s="68">
        <v>0</v>
      </c>
      <c r="BH26" s="31">
        <v>42</v>
      </c>
      <c r="BI26" s="31">
        <v>0</v>
      </c>
      <c r="BJ26" s="31">
        <v>0</v>
      </c>
      <c r="BK26" s="25">
        <v>100</v>
      </c>
      <c r="BL26" s="25">
        <v>677.66666666666663</v>
      </c>
      <c r="BM26" s="25">
        <v>0</v>
      </c>
      <c r="BN26" s="239">
        <v>41</v>
      </c>
      <c r="BO26" s="239">
        <v>0</v>
      </c>
      <c r="BP26" s="239">
        <v>1</v>
      </c>
      <c r="BQ26" s="25">
        <v>97.619047619047635</v>
      </c>
      <c r="BR26" s="25">
        <v>608.3611111111112</v>
      </c>
      <c r="BS26" s="25">
        <v>0</v>
      </c>
      <c r="BT26" s="33">
        <v>83</v>
      </c>
      <c r="BU26" s="31">
        <v>0</v>
      </c>
      <c r="BV26" s="31">
        <v>1</v>
      </c>
      <c r="BW26" s="72">
        <v>98.809523809523824</v>
      </c>
      <c r="BX26" s="25">
        <v>643.01388888888891</v>
      </c>
      <c r="BY26" s="25">
        <v>0</v>
      </c>
    </row>
    <row r="27" spans="1:77" x14ac:dyDescent="0.2">
      <c r="A27" s="2" t="s">
        <v>204</v>
      </c>
      <c r="C27" s="564"/>
      <c r="D27" s="564"/>
      <c r="E27" s="564"/>
      <c r="F27" s="564"/>
      <c r="G27" s="564"/>
      <c r="H27" s="564"/>
      <c r="I27" s="564"/>
      <c r="J27" s="564"/>
      <c r="K27" s="564"/>
      <c r="L27" s="564"/>
      <c r="M27" s="564"/>
      <c r="N27" s="564"/>
      <c r="O27" s="564"/>
      <c r="P27" s="564"/>
      <c r="Q27" s="564"/>
      <c r="R27" s="564"/>
      <c r="S27" s="564"/>
      <c r="T27" s="564"/>
      <c r="U27" s="564"/>
      <c r="V27" s="564"/>
      <c r="W27" s="564"/>
      <c r="X27" s="564"/>
      <c r="Y27" s="564"/>
      <c r="Z27" s="564"/>
      <c r="AA27" s="564"/>
      <c r="AB27" s="564"/>
      <c r="AC27" s="564"/>
      <c r="AD27" s="564"/>
      <c r="AE27" s="564"/>
      <c r="AF27" s="564"/>
      <c r="AG27" s="564"/>
      <c r="AH27" s="564"/>
      <c r="AI27" s="564"/>
      <c r="AJ27" s="564"/>
      <c r="AK27" s="564"/>
      <c r="AL27" s="564"/>
      <c r="AM27" s="564"/>
      <c r="AN27" s="2" t="s">
        <v>67</v>
      </c>
      <c r="AO27" s="69">
        <v>29</v>
      </c>
      <c r="AP27" s="69">
        <v>3</v>
      </c>
      <c r="AQ27" s="69">
        <v>10</v>
      </c>
      <c r="AR27" s="68">
        <v>69.047619047619037</v>
      </c>
      <c r="AS27" s="68">
        <v>751.5</v>
      </c>
      <c r="AT27" s="68">
        <v>1323.5</v>
      </c>
      <c r="AU27" s="69">
        <v>39</v>
      </c>
      <c r="AV27" s="69">
        <v>0</v>
      </c>
      <c r="AW27" s="69">
        <v>3</v>
      </c>
      <c r="AX27" s="68">
        <v>92.857142857142847</v>
      </c>
      <c r="AY27" s="68">
        <v>755.75</v>
      </c>
      <c r="AZ27" s="68">
        <v>0</v>
      </c>
      <c r="BA27" s="69">
        <v>68</v>
      </c>
      <c r="BB27" s="69">
        <v>3</v>
      </c>
      <c r="BC27" s="69">
        <v>13</v>
      </c>
      <c r="BD27" s="68">
        <v>80.952380952380935</v>
      </c>
      <c r="BE27" s="68">
        <v>753.625</v>
      </c>
      <c r="BF27" s="68">
        <v>1323.5</v>
      </c>
      <c r="BH27" s="31">
        <v>37</v>
      </c>
      <c r="BI27" s="31">
        <v>0</v>
      </c>
      <c r="BJ27" s="31">
        <v>5</v>
      </c>
      <c r="BK27" s="25">
        <v>88.095238095238088</v>
      </c>
      <c r="BL27" s="25">
        <v>1210.25</v>
      </c>
      <c r="BM27" s="25">
        <v>0</v>
      </c>
      <c r="BN27" s="239">
        <v>42</v>
      </c>
      <c r="BO27" s="239">
        <v>0</v>
      </c>
      <c r="BP27" s="239">
        <v>0</v>
      </c>
      <c r="BQ27" s="25">
        <v>100</v>
      </c>
      <c r="BR27" s="25">
        <v>694.75</v>
      </c>
      <c r="BS27" s="25">
        <v>0</v>
      </c>
      <c r="BT27" s="33">
        <v>79</v>
      </c>
      <c r="BU27" s="31">
        <v>0</v>
      </c>
      <c r="BV27" s="31">
        <v>5</v>
      </c>
      <c r="BW27" s="72">
        <v>94.047619047619037</v>
      </c>
      <c r="BX27" s="25">
        <v>952.5</v>
      </c>
      <c r="BY27" s="25">
        <v>0</v>
      </c>
    </row>
    <row r="28" spans="1:77" x14ac:dyDescent="0.2">
      <c r="A28" s="2" t="s">
        <v>205</v>
      </c>
      <c r="B28" s="2" t="s">
        <v>68</v>
      </c>
      <c r="C28" s="564">
        <v>30</v>
      </c>
      <c r="D28" s="564">
        <v>0</v>
      </c>
      <c r="E28" s="564">
        <v>12</v>
      </c>
      <c r="F28" s="564">
        <v>71.428571428571431</v>
      </c>
      <c r="G28" s="564">
        <v>0</v>
      </c>
      <c r="H28" s="564" t="s">
        <v>829</v>
      </c>
      <c r="I28" s="564">
        <v>38</v>
      </c>
      <c r="J28" s="564">
        <v>1</v>
      </c>
      <c r="K28" s="564">
        <v>3</v>
      </c>
      <c r="L28" s="564">
        <v>90.476190476190482</v>
      </c>
      <c r="M28" s="564">
        <v>717.91666666666663</v>
      </c>
      <c r="N28" s="564">
        <v>1609</v>
      </c>
      <c r="O28" s="564">
        <v>68</v>
      </c>
      <c r="P28" s="564">
        <v>1</v>
      </c>
      <c r="Q28" s="564">
        <v>15</v>
      </c>
      <c r="R28" s="564">
        <v>80.952380952380963</v>
      </c>
      <c r="S28" s="564">
        <v>358.95833333333331</v>
      </c>
      <c r="T28" s="564">
        <v>1609</v>
      </c>
      <c r="U28" s="564"/>
      <c r="V28" s="564">
        <v>32</v>
      </c>
      <c r="W28" s="564">
        <v>0</v>
      </c>
      <c r="X28" s="564">
        <v>10</v>
      </c>
      <c r="Y28" s="564">
        <v>76.19047619047619</v>
      </c>
      <c r="Z28" s="564">
        <v>431.33333333333331</v>
      </c>
      <c r="AA28" s="564" t="s">
        <v>829</v>
      </c>
      <c r="AB28" s="564">
        <v>35</v>
      </c>
      <c r="AC28" s="564">
        <v>0</v>
      </c>
      <c r="AD28" s="564">
        <v>7</v>
      </c>
      <c r="AE28" s="564">
        <v>83.333333333333329</v>
      </c>
      <c r="AF28" s="564">
        <v>428.83333333333331</v>
      </c>
      <c r="AG28" s="564" t="s">
        <v>829</v>
      </c>
      <c r="AH28" s="564">
        <v>67</v>
      </c>
      <c r="AI28" s="564">
        <v>0</v>
      </c>
      <c r="AJ28" s="564">
        <v>17</v>
      </c>
      <c r="AK28" s="564">
        <v>79.761904761904759</v>
      </c>
      <c r="AL28" s="564">
        <v>430.08333333333331</v>
      </c>
      <c r="AM28" s="564">
        <v>0</v>
      </c>
      <c r="AN28" s="2" t="s">
        <v>67</v>
      </c>
      <c r="AO28" s="69">
        <v>37</v>
      </c>
      <c r="AP28" s="69">
        <v>3</v>
      </c>
      <c r="AQ28" s="69">
        <v>2</v>
      </c>
      <c r="AR28" s="68">
        <v>88.095238095238088</v>
      </c>
      <c r="AS28" s="68">
        <v>718.08333333333337</v>
      </c>
      <c r="AT28" s="68">
        <v>494.5</v>
      </c>
      <c r="AU28" s="69">
        <v>42</v>
      </c>
      <c r="AV28" s="69">
        <v>0</v>
      </c>
      <c r="AW28" s="69">
        <v>0</v>
      </c>
      <c r="AX28" s="68">
        <v>100</v>
      </c>
      <c r="AY28" s="68">
        <v>660.08333333333337</v>
      </c>
      <c r="AZ28" s="68">
        <v>0</v>
      </c>
      <c r="BA28" s="69">
        <v>79</v>
      </c>
      <c r="BB28" s="69">
        <v>3</v>
      </c>
      <c r="BC28" s="69">
        <v>2</v>
      </c>
      <c r="BD28" s="68">
        <v>94.047619047619037</v>
      </c>
      <c r="BE28" s="68">
        <v>689.08333333333337</v>
      </c>
      <c r="BF28" s="68">
        <v>494.5</v>
      </c>
      <c r="BH28" s="31">
        <v>35</v>
      </c>
      <c r="BI28" s="31">
        <v>2</v>
      </c>
      <c r="BJ28" s="31">
        <v>5</v>
      </c>
      <c r="BK28" s="25">
        <v>83.333333333333329</v>
      </c>
      <c r="BL28" s="25">
        <v>746.25</v>
      </c>
      <c r="BM28" s="25">
        <v>350.5</v>
      </c>
      <c r="BN28" s="239">
        <v>38</v>
      </c>
      <c r="BO28" s="239">
        <v>2</v>
      </c>
      <c r="BP28" s="239">
        <v>2</v>
      </c>
      <c r="BQ28" s="25">
        <v>90.476190476190482</v>
      </c>
      <c r="BR28" s="25">
        <v>926.80555555555554</v>
      </c>
      <c r="BS28" s="25">
        <v>1333.5</v>
      </c>
      <c r="BT28" s="33">
        <v>73</v>
      </c>
      <c r="BU28" s="31">
        <v>4</v>
      </c>
      <c r="BV28" s="31">
        <v>7</v>
      </c>
      <c r="BW28" s="72">
        <v>84.523809523809518</v>
      </c>
      <c r="BX28" s="25">
        <v>836.52777777777783</v>
      </c>
      <c r="BY28" s="25">
        <v>842</v>
      </c>
    </row>
    <row r="29" spans="1:77" x14ac:dyDescent="0.2">
      <c r="A29" s="2" t="s">
        <v>206</v>
      </c>
      <c r="B29" s="2" t="s">
        <v>831</v>
      </c>
      <c r="C29" s="564">
        <v>42</v>
      </c>
      <c r="D29" s="564">
        <v>0</v>
      </c>
      <c r="E29" s="564">
        <v>0</v>
      </c>
      <c r="F29" s="564">
        <v>100</v>
      </c>
      <c r="G29" s="564">
        <v>732.25</v>
      </c>
      <c r="H29" s="564" t="s">
        <v>829</v>
      </c>
      <c r="I29" s="564">
        <v>42</v>
      </c>
      <c r="J29" s="564">
        <v>0</v>
      </c>
      <c r="K29" s="564">
        <v>0</v>
      </c>
      <c r="L29" s="564">
        <v>100</v>
      </c>
      <c r="M29" s="564">
        <v>705</v>
      </c>
      <c r="N29" s="564" t="s">
        <v>829</v>
      </c>
      <c r="O29" s="564">
        <v>84</v>
      </c>
      <c r="P29" s="564">
        <v>0</v>
      </c>
      <c r="Q29" s="564">
        <v>0</v>
      </c>
      <c r="R29" s="564">
        <v>100</v>
      </c>
      <c r="S29" s="564">
        <v>743.75</v>
      </c>
      <c r="T29" s="564">
        <v>0</v>
      </c>
      <c r="U29" s="564"/>
      <c r="V29" s="564">
        <v>39</v>
      </c>
      <c r="W29" s="564">
        <v>0</v>
      </c>
      <c r="X29" s="564">
        <v>3</v>
      </c>
      <c r="Y29" s="564">
        <v>92.857142857142847</v>
      </c>
      <c r="Z29" s="564">
        <v>943.1111111111112</v>
      </c>
      <c r="AA29" s="564" t="s">
        <v>829</v>
      </c>
      <c r="AB29" s="564">
        <v>41</v>
      </c>
      <c r="AC29" s="564">
        <v>0</v>
      </c>
      <c r="AD29" s="564">
        <v>1</v>
      </c>
      <c r="AE29" s="564">
        <v>97.619047619047635</v>
      </c>
      <c r="AF29" s="564">
        <v>799.44444444444446</v>
      </c>
      <c r="AG29" s="564" t="s">
        <v>829</v>
      </c>
      <c r="AH29" s="564">
        <v>80</v>
      </c>
      <c r="AI29" s="564">
        <v>0</v>
      </c>
      <c r="AJ29" s="564">
        <v>4</v>
      </c>
      <c r="AK29" s="564">
        <v>95.238095238095241</v>
      </c>
      <c r="AL29" s="564">
        <v>871.27777777777783</v>
      </c>
      <c r="AM29" s="564">
        <v>0</v>
      </c>
      <c r="AN29" s="2" t="s">
        <v>68</v>
      </c>
      <c r="AO29" s="69">
        <v>40</v>
      </c>
      <c r="AP29" s="69">
        <v>1</v>
      </c>
      <c r="AQ29" s="69">
        <v>1</v>
      </c>
      <c r="AR29" s="68">
        <v>95.238095238095241</v>
      </c>
      <c r="AS29" s="68">
        <v>656.77777777777783</v>
      </c>
      <c r="AT29" s="68">
        <v>313</v>
      </c>
      <c r="AU29" s="69">
        <v>42</v>
      </c>
      <c r="AV29" s="69">
        <v>0</v>
      </c>
      <c r="AW29" s="69">
        <v>0</v>
      </c>
      <c r="AX29" s="68">
        <v>100</v>
      </c>
      <c r="AY29" s="68">
        <v>574.08333333333337</v>
      </c>
      <c r="AZ29" s="68">
        <v>0</v>
      </c>
      <c r="BA29" s="69">
        <v>82</v>
      </c>
      <c r="BB29" s="69">
        <v>1</v>
      </c>
      <c r="BC29" s="69">
        <v>1</v>
      </c>
      <c r="BD29" s="68">
        <v>97.61904761904762</v>
      </c>
      <c r="BE29" s="68">
        <v>615.43055555555566</v>
      </c>
      <c r="BF29" s="68">
        <v>313</v>
      </c>
      <c r="BH29" s="31">
        <v>41</v>
      </c>
      <c r="BI29" s="31">
        <v>1</v>
      </c>
      <c r="BJ29" s="31">
        <v>0</v>
      </c>
      <c r="BK29" s="25">
        <v>97.619047619047635</v>
      </c>
      <c r="BL29" s="25">
        <v>709</v>
      </c>
      <c r="BM29" s="25">
        <v>727</v>
      </c>
      <c r="BN29" s="239">
        <v>38</v>
      </c>
      <c r="BO29" s="239">
        <v>0</v>
      </c>
      <c r="BP29" s="239">
        <v>4</v>
      </c>
      <c r="BQ29" s="25">
        <v>90.476190476190482</v>
      </c>
      <c r="BR29" s="25">
        <v>842.33333333333337</v>
      </c>
      <c r="BS29" s="25">
        <v>0</v>
      </c>
      <c r="BT29" s="33">
        <v>79</v>
      </c>
      <c r="BU29" s="31">
        <v>1</v>
      </c>
      <c r="BV29" s="31">
        <v>4</v>
      </c>
      <c r="BW29" s="72">
        <v>94.047619047619065</v>
      </c>
      <c r="BX29" s="25">
        <v>775.66666666666674</v>
      </c>
      <c r="BY29" s="25">
        <v>727</v>
      </c>
    </row>
    <row r="30" spans="1:77" x14ac:dyDescent="0.2">
      <c r="A30" s="2" t="s">
        <v>207</v>
      </c>
      <c r="B30" s="2" t="s">
        <v>831</v>
      </c>
      <c r="C30" s="564">
        <v>41</v>
      </c>
      <c r="D30" s="564">
        <v>1</v>
      </c>
      <c r="E30" s="564">
        <v>0</v>
      </c>
      <c r="F30" s="564">
        <v>97.619047619047635</v>
      </c>
      <c r="G30" s="564">
        <v>834.58333333333337</v>
      </c>
      <c r="H30" s="564">
        <v>1351</v>
      </c>
      <c r="I30" s="564">
        <v>41</v>
      </c>
      <c r="J30" s="564">
        <v>0</v>
      </c>
      <c r="K30" s="564">
        <v>1</v>
      </c>
      <c r="L30" s="564">
        <v>97.619047619047635</v>
      </c>
      <c r="M30" s="564">
        <v>837.41666666666663</v>
      </c>
      <c r="N30" s="564" t="s">
        <v>829</v>
      </c>
      <c r="O30" s="564">
        <v>82</v>
      </c>
      <c r="P30" s="564">
        <v>1</v>
      </c>
      <c r="Q30" s="564">
        <v>1</v>
      </c>
      <c r="R30" s="564">
        <v>97.619047619047635</v>
      </c>
      <c r="S30" s="564">
        <v>794.08333333333337</v>
      </c>
      <c r="T30" s="564">
        <v>1351</v>
      </c>
      <c r="U30" s="564"/>
      <c r="V30" s="564">
        <v>41</v>
      </c>
      <c r="W30" s="564">
        <v>0</v>
      </c>
      <c r="X30" s="564">
        <v>1</v>
      </c>
      <c r="Y30" s="564">
        <v>97.619047619047635</v>
      </c>
      <c r="Z30" s="564">
        <v>814.3611111111112</v>
      </c>
      <c r="AA30" s="564" t="s">
        <v>829</v>
      </c>
      <c r="AB30" s="564">
        <v>39</v>
      </c>
      <c r="AC30" s="564">
        <v>0</v>
      </c>
      <c r="AD30" s="564">
        <v>3</v>
      </c>
      <c r="AE30" s="564">
        <v>92.857142857142847</v>
      </c>
      <c r="AF30" s="564">
        <v>773.80555555555554</v>
      </c>
      <c r="AG30" s="564" t="s">
        <v>829</v>
      </c>
      <c r="AH30" s="564">
        <v>80</v>
      </c>
      <c r="AI30" s="564">
        <v>0</v>
      </c>
      <c r="AJ30" s="564">
        <v>4</v>
      </c>
      <c r="AK30" s="564">
        <v>95.238095238095241</v>
      </c>
      <c r="AL30" s="564">
        <v>794.08333333333337</v>
      </c>
      <c r="AM30" s="564">
        <v>0</v>
      </c>
      <c r="AN30" s="2" t="s">
        <v>68</v>
      </c>
      <c r="AO30" s="69">
        <v>42</v>
      </c>
      <c r="AP30" s="69">
        <v>0</v>
      </c>
      <c r="AQ30" s="69">
        <v>0</v>
      </c>
      <c r="AR30" s="68">
        <v>100</v>
      </c>
      <c r="AS30" s="68">
        <v>708.16666666666663</v>
      </c>
      <c r="AT30" s="68">
        <v>0</v>
      </c>
      <c r="AU30" s="69">
        <v>41</v>
      </c>
      <c r="AV30" s="69">
        <v>0</v>
      </c>
      <c r="AW30" s="69">
        <v>1</v>
      </c>
      <c r="AX30" s="68">
        <v>97.619047619047635</v>
      </c>
      <c r="AY30" s="68">
        <v>835.1388888888888</v>
      </c>
      <c r="AZ30" s="68">
        <v>0</v>
      </c>
      <c r="BA30" s="69">
        <v>83</v>
      </c>
      <c r="BB30" s="69">
        <v>0</v>
      </c>
      <c r="BC30" s="69">
        <v>1</v>
      </c>
      <c r="BD30" s="68">
        <v>98.809523809523824</v>
      </c>
      <c r="BE30" s="68">
        <v>771.65277777777771</v>
      </c>
      <c r="BF30" s="68">
        <v>0</v>
      </c>
      <c r="BH30" s="31">
        <v>41</v>
      </c>
      <c r="BI30" s="31">
        <v>0</v>
      </c>
      <c r="BJ30" s="31">
        <v>1</v>
      </c>
      <c r="BK30" s="25">
        <v>97.619047619047635</v>
      </c>
      <c r="BL30" s="25">
        <v>754.8888888888888</v>
      </c>
      <c r="BM30" s="25">
        <v>0</v>
      </c>
      <c r="BN30" s="239">
        <v>40</v>
      </c>
      <c r="BO30" s="239">
        <v>0</v>
      </c>
      <c r="BP30" s="239">
        <v>2</v>
      </c>
      <c r="BQ30" s="25">
        <v>95.238095238095241</v>
      </c>
      <c r="BR30" s="25">
        <v>891.1111111111112</v>
      </c>
      <c r="BS30" s="25">
        <v>0</v>
      </c>
      <c r="BT30" s="33">
        <v>81</v>
      </c>
      <c r="BU30" s="31">
        <v>0</v>
      </c>
      <c r="BV30" s="31">
        <v>3</v>
      </c>
      <c r="BW30" s="72">
        <v>96.428571428571445</v>
      </c>
      <c r="BX30" s="25">
        <v>823</v>
      </c>
      <c r="BY30" s="25">
        <v>0</v>
      </c>
    </row>
    <row r="31" spans="1:77" x14ac:dyDescent="0.2">
      <c r="A31" s="2" t="s">
        <v>210</v>
      </c>
      <c r="B31" s="2" t="s">
        <v>68</v>
      </c>
      <c r="C31" s="564">
        <v>42</v>
      </c>
      <c r="D31" s="564">
        <v>0</v>
      </c>
      <c r="E31" s="564">
        <v>0</v>
      </c>
      <c r="F31" s="564">
        <v>100</v>
      </c>
      <c r="G31" s="564">
        <v>711.58333333333337</v>
      </c>
      <c r="H31" s="564" t="s">
        <v>829</v>
      </c>
      <c r="I31" s="564">
        <v>42</v>
      </c>
      <c r="J31" s="564">
        <v>0</v>
      </c>
      <c r="K31" s="564">
        <v>0</v>
      </c>
      <c r="L31" s="564">
        <v>100</v>
      </c>
      <c r="M31" s="564">
        <v>770.58333333333337</v>
      </c>
      <c r="N31" s="564" t="s">
        <v>829</v>
      </c>
      <c r="O31" s="564">
        <v>84</v>
      </c>
      <c r="P31" s="564">
        <v>0</v>
      </c>
      <c r="Q31" s="564">
        <v>0</v>
      </c>
      <c r="R31" s="564">
        <v>100</v>
      </c>
      <c r="S31" s="564">
        <v>741.08333333333337</v>
      </c>
      <c r="T31" s="564">
        <v>0</v>
      </c>
      <c r="U31" s="564"/>
      <c r="V31" s="564">
        <v>42</v>
      </c>
      <c r="W31" s="564">
        <v>0</v>
      </c>
      <c r="X31" s="564">
        <v>0</v>
      </c>
      <c r="Y31" s="564">
        <v>100</v>
      </c>
      <c r="Z31" s="564">
        <v>884.75</v>
      </c>
      <c r="AA31" s="564" t="s">
        <v>829</v>
      </c>
      <c r="AB31" s="564">
        <v>42</v>
      </c>
      <c r="AC31" s="564">
        <v>0</v>
      </c>
      <c r="AD31" s="564">
        <v>0</v>
      </c>
      <c r="AE31" s="564">
        <v>100</v>
      </c>
      <c r="AF31" s="564">
        <v>840.66666666666663</v>
      </c>
      <c r="AG31" s="564" t="s">
        <v>829</v>
      </c>
      <c r="AH31" s="564">
        <v>84</v>
      </c>
      <c r="AI31" s="564">
        <v>0</v>
      </c>
      <c r="AJ31" s="564">
        <v>0</v>
      </c>
      <c r="AK31" s="564">
        <v>100</v>
      </c>
      <c r="AL31" s="564">
        <v>862.70833333333326</v>
      </c>
      <c r="AM31" s="564">
        <v>0</v>
      </c>
      <c r="AN31" s="2" t="s">
        <v>67</v>
      </c>
      <c r="AO31" s="69">
        <v>42</v>
      </c>
      <c r="AP31" s="69">
        <v>0</v>
      </c>
      <c r="AQ31" s="69">
        <v>0</v>
      </c>
      <c r="AR31" s="68">
        <v>100</v>
      </c>
      <c r="AS31" s="68">
        <v>646.25</v>
      </c>
      <c r="AT31" s="68">
        <v>0</v>
      </c>
      <c r="AU31" s="69">
        <v>42</v>
      </c>
      <c r="AV31" s="69">
        <v>0</v>
      </c>
      <c r="AW31" s="69">
        <v>0</v>
      </c>
      <c r="AX31" s="68">
        <v>100</v>
      </c>
      <c r="AY31" s="68">
        <v>691.25</v>
      </c>
      <c r="AZ31" s="68">
        <v>0</v>
      </c>
      <c r="BA31" s="69">
        <v>84</v>
      </c>
      <c r="BB31" s="69">
        <v>0</v>
      </c>
      <c r="BC31" s="69">
        <v>0</v>
      </c>
      <c r="BD31" s="68">
        <v>100</v>
      </c>
      <c r="BE31" s="68">
        <v>668.75</v>
      </c>
      <c r="BF31" s="68">
        <v>0</v>
      </c>
      <c r="BH31" s="31">
        <v>41</v>
      </c>
      <c r="BI31" s="31">
        <v>1</v>
      </c>
      <c r="BJ31" s="31">
        <v>0</v>
      </c>
      <c r="BK31" s="25">
        <v>97.619047619047635</v>
      </c>
      <c r="BL31" s="25">
        <v>649</v>
      </c>
      <c r="BM31" s="25">
        <v>580</v>
      </c>
      <c r="BN31" s="239">
        <v>39</v>
      </c>
      <c r="BO31" s="239">
        <v>1</v>
      </c>
      <c r="BP31" s="239">
        <v>2</v>
      </c>
      <c r="BQ31" s="25">
        <v>92.857142857142847</v>
      </c>
      <c r="BR31" s="25">
        <v>744.02777777777771</v>
      </c>
      <c r="BS31" s="25">
        <v>893</v>
      </c>
      <c r="BT31" s="33">
        <v>80</v>
      </c>
      <c r="BU31" s="31">
        <v>2</v>
      </c>
      <c r="BV31" s="31">
        <v>2</v>
      </c>
      <c r="BW31" s="72">
        <v>95.238095238095241</v>
      </c>
      <c r="BX31" s="25">
        <v>696.51388888888891</v>
      </c>
      <c r="BY31" s="25">
        <v>736.5</v>
      </c>
    </row>
    <row r="32" spans="1:77" x14ac:dyDescent="0.2">
      <c r="A32" s="2" t="s">
        <v>208</v>
      </c>
      <c r="B32" s="2" t="s">
        <v>68</v>
      </c>
      <c r="C32" s="564">
        <v>42</v>
      </c>
      <c r="D32" s="564">
        <v>0</v>
      </c>
      <c r="E32" s="564">
        <v>0</v>
      </c>
      <c r="F32" s="564">
        <v>100</v>
      </c>
      <c r="G32" s="564">
        <v>515.58333333333337</v>
      </c>
      <c r="H32" s="564" t="s">
        <v>829</v>
      </c>
      <c r="I32" s="564">
        <v>42</v>
      </c>
      <c r="J32" s="564">
        <v>0</v>
      </c>
      <c r="K32" s="564">
        <v>0</v>
      </c>
      <c r="L32" s="564">
        <v>100</v>
      </c>
      <c r="M32" s="564">
        <v>536.41666666666663</v>
      </c>
      <c r="N32" s="564" t="s">
        <v>829</v>
      </c>
      <c r="O32" s="564">
        <v>84</v>
      </c>
      <c r="P32" s="564">
        <v>0</v>
      </c>
      <c r="Q32" s="564">
        <v>0</v>
      </c>
      <c r="R32" s="564">
        <v>100</v>
      </c>
      <c r="S32" s="564">
        <v>526</v>
      </c>
      <c r="T32" s="564">
        <v>0</v>
      </c>
      <c r="U32" s="564"/>
      <c r="V32" s="564">
        <v>41</v>
      </c>
      <c r="W32" s="564">
        <v>0</v>
      </c>
      <c r="X32" s="564">
        <v>1</v>
      </c>
      <c r="Y32" s="564">
        <v>97.619047619047635</v>
      </c>
      <c r="Z32" s="564">
        <v>613.41666666666663</v>
      </c>
      <c r="AA32" s="564" t="s">
        <v>829</v>
      </c>
      <c r="AB32" s="564">
        <v>42</v>
      </c>
      <c r="AC32" s="564">
        <v>0</v>
      </c>
      <c r="AD32" s="564">
        <v>0</v>
      </c>
      <c r="AE32" s="564">
        <v>100</v>
      </c>
      <c r="AF32" s="564">
        <v>657.25</v>
      </c>
      <c r="AG32" s="564" t="s">
        <v>829</v>
      </c>
      <c r="AH32" s="564">
        <v>83</v>
      </c>
      <c r="AI32" s="564">
        <v>0</v>
      </c>
      <c r="AJ32" s="564">
        <v>1</v>
      </c>
      <c r="AK32" s="564">
        <v>98.809523809523824</v>
      </c>
      <c r="AL32" s="564">
        <v>635.33333333333326</v>
      </c>
      <c r="AM32" s="564">
        <v>0</v>
      </c>
      <c r="AN32" s="2" t="s">
        <v>67</v>
      </c>
      <c r="AO32" s="69">
        <v>42</v>
      </c>
      <c r="AP32" s="69">
        <v>0</v>
      </c>
      <c r="AQ32" s="69">
        <v>0</v>
      </c>
      <c r="AR32" s="68">
        <v>100</v>
      </c>
      <c r="AS32" s="68">
        <v>504.83333333333331</v>
      </c>
      <c r="AT32" s="68">
        <v>0</v>
      </c>
      <c r="AU32" s="69">
        <v>42</v>
      </c>
      <c r="AV32" s="69">
        <v>0</v>
      </c>
      <c r="AW32" s="69">
        <v>0</v>
      </c>
      <c r="AX32" s="68">
        <v>100</v>
      </c>
      <c r="AY32" s="68">
        <v>498.25</v>
      </c>
      <c r="AZ32" s="68">
        <v>0</v>
      </c>
      <c r="BA32" s="69">
        <v>84</v>
      </c>
      <c r="BB32" s="69">
        <v>0</v>
      </c>
      <c r="BC32" s="69">
        <v>0</v>
      </c>
      <c r="BD32" s="68">
        <v>100</v>
      </c>
      <c r="BE32" s="68">
        <v>501.54166666666663</v>
      </c>
      <c r="BF32" s="68">
        <v>0</v>
      </c>
      <c r="BH32" s="31">
        <v>41</v>
      </c>
      <c r="BI32" s="31">
        <v>0</v>
      </c>
      <c r="BJ32" s="31">
        <v>1</v>
      </c>
      <c r="BK32" s="25">
        <v>97.619047619047635</v>
      </c>
      <c r="BL32" s="25">
        <v>788.27777777777783</v>
      </c>
      <c r="BM32" s="25">
        <v>0</v>
      </c>
      <c r="BN32" s="239">
        <v>42</v>
      </c>
      <c r="BO32" s="239">
        <v>0</v>
      </c>
      <c r="BP32" s="239">
        <v>0</v>
      </c>
      <c r="BQ32" s="25">
        <v>100</v>
      </c>
      <c r="BR32" s="25">
        <v>649.91666666666663</v>
      </c>
      <c r="BS32" s="25">
        <v>0</v>
      </c>
      <c r="BT32" s="33">
        <v>83</v>
      </c>
      <c r="BU32" s="31">
        <v>0</v>
      </c>
      <c r="BV32" s="31">
        <v>1</v>
      </c>
      <c r="BW32" s="72">
        <v>98.809523809523824</v>
      </c>
      <c r="BX32" s="25">
        <v>719.09722222222217</v>
      </c>
      <c r="BY32" s="25">
        <v>0</v>
      </c>
    </row>
    <row r="33" spans="1:77" x14ac:dyDescent="0.2">
      <c r="A33" s="2" t="s">
        <v>209</v>
      </c>
      <c r="B33" s="2" t="s">
        <v>831</v>
      </c>
      <c r="C33" s="564">
        <v>41</v>
      </c>
      <c r="D33" s="564">
        <v>1</v>
      </c>
      <c r="E33" s="564">
        <v>0</v>
      </c>
      <c r="F33" s="564">
        <v>97.619047619047635</v>
      </c>
      <c r="G33" s="564">
        <v>560.75</v>
      </c>
      <c r="H33" s="564">
        <v>495</v>
      </c>
      <c r="I33" s="564">
        <v>42</v>
      </c>
      <c r="J33" s="564">
        <v>0</v>
      </c>
      <c r="K33" s="564">
        <v>0</v>
      </c>
      <c r="L33" s="564">
        <v>100</v>
      </c>
      <c r="M33" s="564">
        <v>642.41666666666663</v>
      </c>
      <c r="N33" s="564" t="s">
        <v>829</v>
      </c>
      <c r="O33" s="564">
        <v>83</v>
      </c>
      <c r="P33" s="564">
        <v>1</v>
      </c>
      <c r="Q33" s="564">
        <v>0</v>
      </c>
      <c r="R33" s="564">
        <v>98.809523809523824</v>
      </c>
      <c r="S33" s="564">
        <v>601.58333333333326</v>
      </c>
      <c r="T33" s="564">
        <v>495</v>
      </c>
      <c r="U33" s="564"/>
      <c r="V33" s="564">
        <v>41</v>
      </c>
      <c r="W33" s="564">
        <v>1</v>
      </c>
      <c r="X33" s="564">
        <v>0</v>
      </c>
      <c r="Y33" s="564">
        <v>97.619047619047635</v>
      </c>
      <c r="Z33" s="564">
        <v>712.25</v>
      </c>
      <c r="AA33" s="564">
        <v>607</v>
      </c>
      <c r="AB33" s="564">
        <v>42</v>
      </c>
      <c r="AC33" s="564">
        <v>0</v>
      </c>
      <c r="AD33" s="564">
        <v>0</v>
      </c>
      <c r="AE33" s="564">
        <v>100</v>
      </c>
      <c r="AF33" s="564">
        <v>724.83333333333337</v>
      </c>
      <c r="AG33" s="564" t="s">
        <v>829</v>
      </c>
      <c r="AH33" s="564">
        <v>83</v>
      </c>
      <c r="AI33" s="564">
        <v>1</v>
      </c>
      <c r="AJ33" s="564">
        <v>0</v>
      </c>
      <c r="AK33" s="564">
        <v>98.809523809523824</v>
      </c>
      <c r="AL33" s="564">
        <v>718.54166666666674</v>
      </c>
      <c r="AM33" s="564">
        <v>607</v>
      </c>
      <c r="AN33" s="2" t="s">
        <v>68</v>
      </c>
      <c r="AO33" s="69">
        <v>39</v>
      </c>
      <c r="AP33" s="69">
        <v>3</v>
      </c>
      <c r="AQ33" s="69">
        <v>0</v>
      </c>
      <c r="AR33" s="68">
        <v>92.857142857142847</v>
      </c>
      <c r="AS33" s="68">
        <v>564.66666666666663</v>
      </c>
      <c r="AT33" s="68">
        <v>439.33333333333331</v>
      </c>
      <c r="AU33" s="69">
        <v>40</v>
      </c>
      <c r="AV33" s="69">
        <v>1</v>
      </c>
      <c r="AW33" s="69">
        <v>1</v>
      </c>
      <c r="AX33" s="68">
        <v>95.238095238095241</v>
      </c>
      <c r="AY33" s="68">
        <v>585.19444444444446</v>
      </c>
      <c r="AZ33" s="68">
        <v>422</v>
      </c>
      <c r="BA33" s="69">
        <v>79</v>
      </c>
      <c r="BB33" s="69">
        <v>4</v>
      </c>
      <c r="BC33" s="69">
        <v>1</v>
      </c>
      <c r="BD33" s="68">
        <v>94.047619047619037</v>
      </c>
      <c r="BE33" s="68">
        <v>574.93055555555554</v>
      </c>
      <c r="BF33" s="68">
        <v>430.66666666666663</v>
      </c>
      <c r="BH33" s="31">
        <v>38</v>
      </c>
      <c r="BI33" s="31">
        <v>1</v>
      </c>
      <c r="BJ33" s="31">
        <v>3</v>
      </c>
      <c r="BK33" s="25">
        <v>90.476190476190482</v>
      </c>
      <c r="BL33" s="25">
        <v>802.75</v>
      </c>
      <c r="BM33" s="25">
        <v>609</v>
      </c>
      <c r="BN33" s="239">
        <v>42</v>
      </c>
      <c r="BO33" s="239">
        <v>0</v>
      </c>
      <c r="BP33" s="239">
        <v>0</v>
      </c>
      <c r="BQ33" s="25">
        <v>100</v>
      </c>
      <c r="BR33" s="25">
        <v>772.41666666666663</v>
      </c>
      <c r="BS33" s="25">
        <v>0</v>
      </c>
      <c r="BT33" s="33">
        <v>80</v>
      </c>
      <c r="BU33" s="31">
        <v>1</v>
      </c>
      <c r="BV33" s="31">
        <v>3</v>
      </c>
      <c r="BW33" s="72">
        <v>95.238095238095241</v>
      </c>
      <c r="BX33" s="25">
        <v>787.58333333333326</v>
      </c>
      <c r="BY33" s="25">
        <v>609</v>
      </c>
    </row>
    <row r="34" spans="1:77" x14ac:dyDescent="0.2">
      <c r="A34" s="2" t="s">
        <v>468</v>
      </c>
      <c r="AN34" s="2" t="s">
        <v>68</v>
      </c>
      <c r="AO34" s="69">
        <v>42</v>
      </c>
      <c r="AP34" s="69">
        <v>0</v>
      </c>
      <c r="AQ34" s="69">
        <v>0</v>
      </c>
      <c r="AR34" s="68">
        <v>100</v>
      </c>
      <c r="AS34" s="68">
        <v>508.75</v>
      </c>
      <c r="AT34" s="68">
        <v>0</v>
      </c>
      <c r="AU34" s="69">
        <v>42</v>
      </c>
      <c r="AV34" s="69">
        <v>0</v>
      </c>
      <c r="AW34" s="69">
        <v>0</v>
      </c>
      <c r="AX34" s="68">
        <v>100</v>
      </c>
      <c r="AY34" s="68">
        <v>508.33333333333331</v>
      </c>
      <c r="AZ34" s="68">
        <v>0</v>
      </c>
      <c r="BA34" s="69">
        <v>84</v>
      </c>
      <c r="BB34" s="69">
        <v>0</v>
      </c>
      <c r="BC34" s="69">
        <v>0</v>
      </c>
      <c r="BD34" s="68">
        <v>100</v>
      </c>
      <c r="BE34" s="68">
        <v>508.54166666666663</v>
      </c>
      <c r="BF34" s="68">
        <v>0</v>
      </c>
      <c r="BH34" s="31">
        <v>42</v>
      </c>
      <c r="BI34" s="31">
        <v>0</v>
      </c>
      <c r="BJ34" s="31">
        <v>0</v>
      </c>
      <c r="BK34" s="25">
        <v>100</v>
      </c>
      <c r="BL34" s="25">
        <v>673.91666666666663</v>
      </c>
      <c r="BM34" s="25">
        <v>0</v>
      </c>
      <c r="BN34" s="239">
        <v>42</v>
      </c>
      <c r="BO34" s="239">
        <v>0</v>
      </c>
      <c r="BP34" s="239">
        <v>0</v>
      </c>
      <c r="BQ34" s="25">
        <v>100</v>
      </c>
      <c r="BR34" s="25">
        <v>712.5</v>
      </c>
      <c r="BS34" s="25">
        <v>0</v>
      </c>
      <c r="BT34" s="33">
        <v>84</v>
      </c>
      <c r="BU34" s="31">
        <v>0</v>
      </c>
      <c r="BV34" s="31">
        <v>0</v>
      </c>
      <c r="BW34" s="72">
        <v>100</v>
      </c>
      <c r="BX34" s="25">
        <v>693.20833333333326</v>
      </c>
      <c r="BY34" s="25">
        <v>0</v>
      </c>
    </row>
    <row r="35" spans="1:77" x14ac:dyDescent="0.2">
      <c r="A35" s="2" t="s">
        <v>469</v>
      </c>
      <c r="C35" s="564"/>
      <c r="D35" s="564"/>
      <c r="E35" s="564"/>
      <c r="F35" s="564"/>
      <c r="G35" s="564"/>
      <c r="H35" s="564"/>
      <c r="I35" s="564"/>
      <c r="J35" s="564"/>
      <c r="K35" s="564"/>
      <c r="L35" s="564"/>
      <c r="M35" s="564"/>
      <c r="N35" s="564"/>
      <c r="O35" s="564"/>
      <c r="P35" s="564"/>
      <c r="Q35" s="564"/>
      <c r="R35" s="564"/>
      <c r="S35" s="564"/>
      <c r="T35" s="564"/>
      <c r="U35" s="564"/>
      <c r="V35" s="564"/>
      <c r="W35" s="564"/>
      <c r="X35" s="564"/>
      <c r="Y35" s="564"/>
      <c r="Z35" s="564"/>
      <c r="AA35" s="564"/>
      <c r="AB35" s="564"/>
      <c r="AC35" s="564"/>
      <c r="AD35" s="564"/>
      <c r="AE35" s="564"/>
      <c r="AF35" s="564"/>
      <c r="AG35" s="564"/>
      <c r="AH35" s="564"/>
      <c r="AI35" s="564"/>
      <c r="AJ35" s="564"/>
      <c r="AK35" s="564"/>
      <c r="AL35" s="564"/>
      <c r="AM35" s="564"/>
      <c r="AN35" s="2" t="s">
        <v>67</v>
      </c>
      <c r="AO35" s="69">
        <v>42</v>
      </c>
      <c r="AP35" s="69">
        <v>0</v>
      </c>
      <c r="AQ35" s="69">
        <v>0</v>
      </c>
      <c r="AR35" s="68">
        <v>100</v>
      </c>
      <c r="AS35" s="68">
        <v>802</v>
      </c>
      <c r="AT35" s="68">
        <v>0</v>
      </c>
      <c r="AU35" s="69">
        <v>42</v>
      </c>
      <c r="AV35" s="69">
        <v>0</v>
      </c>
      <c r="AW35" s="69">
        <v>0</v>
      </c>
      <c r="AX35" s="68">
        <v>100</v>
      </c>
      <c r="AY35" s="68">
        <v>825.91666666666663</v>
      </c>
      <c r="AZ35" s="68">
        <v>0</v>
      </c>
      <c r="BA35" s="69">
        <v>84</v>
      </c>
      <c r="BB35" s="69">
        <v>0</v>
      </c>
      <c r="BC35" s="69">
        <v>0</v>
      </c>
      <c r="BD35" s="68">
        <v>100</v>
      </c>
      <c r="BE35" s="68">
        <v>813.95833333333326</v>
      </c>
      <c r="BF35" s="68">
        <v>0</v>
      </c>
      <c r="BH35" s="31">
        <v>38</v>
      </c>
      <c r="BI35" s="31">
        <v>1</v>
      </c>
      <c r="BJ35" s="31">
        <v>3</v>
      </c>
      <c r="BK35" s="25">
        <v>90.476190476190482</v>
      </c>
      <c r="BL35" s="25">
        <v>791.25</v>
      </c>
      <c r="BM35" s="25">
        <v>588</v>
      </c>
      <c r="BN35" s="239">
        <v>42</v>
      </c>
      <c r="BO35" s="239">
        <v>0</v>
      </c>
      <c r="BP35" s="239">
        <v>0</v>
      </c>
      <c r="BQ35" s="25">
        <v>100</v>
      </c>
      <c r="BR35" s="25">
        <v>937.83333333333337</v>
      </c>
      <c r="BS35" s="25">
        <v>0</v>
      </c>
      <c r="BT35" s="33">
        <v>80</v>
      </c>
      <c r="BU35" s="31">
        <v>1</v>
      </c>
      <c r="BV35" s="31">
        <v>3</v>
      </c>
      <c r="BW35" s="72">
        <v>95.238095238095241</v>
      </c>
      <c r="BX35" s="25">
        <v>864.54166666666674</v>
      </c>
      <c r="BY35" s="25">
        <v>588</v>
      </c>
    </row>
    <row r="36" spans="1:77" x14ac:dyDescent="0.2">
      <c r="A36" s="2" t="s">
        <v>470</v>
      </c>
      <c r="B36" s="2" t="s">
        <v>68</v>
      </c>
      <c r="C36" s="564">
        <v>42</v>
      </c>
      <c r="D36" s="564">
        <v>0</v>
      </c>
      <c r="E36" s="564">
        <v>0</v>
      </c>
      <c r="F36" s="564">
        <v>100</v>
      </c>
      <c r="G36" s="564">
        <v>501.58333333333331</v>
      </c>
      <c r="H36" s="564" t="s">
        <v>829</v>
      </c>
      <c r="I36" s="564">
        <v>42</v>
      </c>
      <c r="J36" s="564">
        <v>0</v>
      </c>
      <c r="K36" s="564">
        <v>0</v>
      </c>
      <c r="L36" s="564">
        <v>100</v>
      </c>
      <c r="M36" s="564">
        <v>511.16666666666669</v>
      </c>
      <c r="N36" s="564" t="s">
        <v>829</v>
      </c>
      <c r="O36" s="564">
        <v>84</v>
      </c>
      <c r="P36" s="564">
        <v>0</v>
      </c>
      <c r="Q36" s="564">
        <v>0</v>
      </c>
      <c r="R36" s="564">
        <v>100</v>
      </c>
      <c r="S36" s="564">
        <v>506.375</v>
      </c>
      <c r="T36" s="564">
        <v>0</v>
      </c>
      <c r="U36" s="564"/>
      <c r="V36" s="564">
        <v>42</v>
      </c>
      <c r="W36" s="564">
        <v>0</v>
      </c>
      <c r="X36" s="564">
        <v>0</v>
      </c>
      <c r="Y36" s="564">
        <v>100</v>
      </c>
      <c r="Z36" s="564">
        <v>567.08333333333337</v>
      </c>
      <c r="AA36" s="564" t="s">
        <v>829</v>
      </c>
      <c r="AB36" s="564">
        <v>42</v>
      </c>
      <c r="AC36" s="564">
        <v>0</v>
      </c>
      <c r="AD36" s="564">
        <v>0</v>
      </c>
      <c r="AE36" s="564">
        <v>100</v>
      </c>
      <c r="AF36" s="564">
        <v>493.83333333333331</v>
      </c>
      <c r="AG36" s="564" t="s">
        <v>829</v>
      </c>
      <c r="AH36" s="564">
        <v>84</v>
      </c>
      <c r="AI36" s="564">
        <v>0</v>
      </c>
      <c r="AJ36" s="564">
        <v>0</v>
      </c>
      <c r="AK36" s="49">
        <v>100</v>
      </c>
      <c r="AL36" s="676">
        <v>530.45833333333337</v>
      </c>
      <c r="AM36" s="49">
        <v>0</v>
      </c>
      <c r="AN36" s="2" t="s">
        <v>67</v>
      </c>
      <c r="AO36" s="69">
        <v>42</v>
      </c>
      <c r="AP36" s="69">
        <v>0</v>
      </c>
      <c r="AQ36" s="69">
        <v>0</v>
      </c>
      <c r="AR36" s="68">
        <v>100</v>
      </c>
      <c r="AS36" s="68">
        <v>542.41666666666663</v>
      </c>
      <c r="AT36" s="68">
        <v>0</v>
      </c>
      <c r="AU36" s="69">
        <v>42</v>
      </c>
      <c r="AV36" s="69">
        <v>0</v>
      </c>
      <c r="AW36" s="69">
        <v>0</v>
      </c>
      <c r="AX36" s="68">
        <v>100</v>
      </c>
      <c r="AY36" s="68">
        <v>534.16666666666663</v>
      </c>
      <c r="AZ36" s="68">
        <v>0</v>
      </c>
      <c r="BA36" s="69">
        <v>42</v>
      </c>
      <c r="BB36" s="69">
        <v>0</v>
      </c>
      <c r="BC36" s="69">
        <v>0</v>
      </c>
      <c r="BD36" s="68">
        <v>100</v>
      </c>
      <c r="BE36" s="68">
        <v>538.29166666666663</v>
      </c>
      <c r="BF36" s="68">
        <v>0</v>
      </c>
      <c r="BH36" s="31">
        <v>42</v>
      </c>
      <c r="BI36" s="31">
        <v>0</v>
      </c>
      <c r="BJ36" s="31">
        <v>0</v>
      </c>
      <c r="BK36" s="25">
        <v>100</v>
      </c>
      <c r="BL36" s="25">
        <v>560.08333333333337</v>
      </c>
      <c r="BM36" s="25">
        <v>0</v>
      </c>
      <c r="BN36" s="239">
        <v>42</v>
      </c>
      <c r="BO36" s="239">
        <v>0</v>
      </c>
      <c r="BP36" s="239">
        <v>0</v>
      </c>
      <c r="BQ36" s="25">
        <v>100</v>
      </c>
      <c r="BR36" s="25">
        <v>549.91666666666663</v>
      </c>
      <c r="BS36" s="25">
        <v>0</v>
      </c>
      <c r="BT36" s="33">
        <v>84</v>
      </c>
      <c r="BU36" s="31">
        <v>0</v>
      </c>
      <c r="BV36" s="31">
        <v>0</v>
      </c>
      <c r="BW36" s="72">
        <v>100</v>
      </c>
      <c r="BX36" s="25">
        <v>555</v>
      </c>
      <c r="BY36" s="25">
        <v>0</v>
      </c>
    </row>
    <row r="37" spans="1:77" x14ac:dyDescent="0.2">
      <c r="A37" s="2" t="s">
        <v>471</v>
      </c>
      <c r="B37" s="2" t="s">
        <v>831</v>
      </c>
      <c r="C37" s="564">
        <v>42</v>
      </c>
      <c r="D37" s="564">
        <v>0</v>
      </c>
      <c r="E37" s="564">
        <v>0</v>
      </c>
      <c r="F37" s="564">
        <v>100</v>
      </c>
      <c r="G37" s="564">
        <v>527</v>
      </c>
      <c r="H37" s="564" t="s">
        <v>829</v>
      </c>
      <c r="I37" s="564">
        <v>42</v>
      </c>
      <c r="J37" s="564">
        <v>0</v>
      </c>
      <c r="K37" s="564">
        <v>0</v>
      </c>
      <c r="L37" s="564">
        <v>100</v>
      </c>
      <c r="M37" s="564">
        <v>586.33333333333337</v>
      </c>
      <c r="N37" s="564" t="s">
        <v>829</v>
      </c>
      <c r="O37" s="564">
        <v>84</v>
      </c>
      <c r="P37" s="564">
        <v>0</v>
      </c>
      <c r="Q37" s="564">
        <v>0</v>
      </c>
      <c r="R37" s="564">
        <v>100</v>
      </c>
      <c r="S37" s="564">
        <v>556.66666666666674</v>
      </c>
      <c r="T37" s="564">
        <v>0</v>
      </c>
      <c r="U37" s="564"/>
      <c r="V37" s="564">
        <v>42</v>
      </c>
      <c r="W37" s="564">
        <v>0</v>
      </c>
      <c r="X37" s="564">
        <v>0</v>
      </c>
      <c r="Y37" s="564">
        <v>100</v>
      </c>
      <c r="Z37" s="564">
        <v>801.66666666666663</v>
      </c>
      <c r="AA37" s="564" t="s">
        <v>829</v>
      </c>
      <c r="AB37" s="564">
        <v>41</v>
      </c>
      <c r="AC37" s="564">
        <v>1</v>
      </c>
      <c r="AD37" s="564">
        <v>0</v>
      </c>
      <c r="AE37" s="564">
        <v>97.619047619047635</v>
      </c>
      <c r="AF37" s="564">
        <v>775.75</v>
      </c>
      <c r="AG37" s="564">
        <v>993</v>
      </c>
      <c r="AH37" s="564">
        <v>83</v>
      </c>
      <c r="AI37" s="564">
        <v>1</v>
      </c>
      <c r="AJ37" s="564">
        <v>0</v>
      </c>
      <c r="AK37" s="564">
        <v>98.809523809523824</v>
      </c>
      <c r="AL37" s="564">
        <v>788.70833333333326</v>
      </c>
      <c r="AM37" s="564">
        <v>933</v>
      </c>
      <c r="AN37" s="2" t="s">
        <v>68</v>
      </c>
      <c r="AO37" s="69">
        <v>42</v>
      </c>
      <c r="AP37" s="69">
        <v>0</v>
      </c>
      <c r="AQ37" s="69">
        <v>0</v>
      </c>
      <c r="AR37" s="68">
        <v>100</v>
      </c>
      <c r="AS37" s="68">
        <v>626.16666666666663</v>
      </c>
      <c r="AT37" s="68">
        <v>0</v>
      </c>
      <c r="AU37" s="69">
        <v>38</v>
      </c>
      <c r="AV37" s="69">
        <v>0</v>
      </c>
      <c r="AW37" s="69">
        <v>4</v>
      </c>
      <c r="AX37" s="68">
        <v>90.476190476190482</v>
      </c>
      <c r="AY37" s="68">
        <v>920.75</v>
      </c>
      <c r="AZ37" s="68">
        <v>0</v>
      </c>
      <c r="BA37" s="69">
        <v>80</v>
      </c>
      <c r="BB37" s="69">
        <v>0</v>
      </c>
      <c r="BC37" s="69">
        <v>4</v>
      </c>
      <c r="BD37" s="68">
        <v>95.238095238095241</v>
      </c>
      <c r="BE37" s="68">
        <v>773.45833333333326</v>
      </c>
      <c r="BF37" s="68">
        <v>0</v>
      </c>
      <c r="BH37" s="31">
        <v>42</v>
      </c>
      <c r="BI37" s="31">
        <v>0</v>
      </c>
      <c r="BJ37" s="31">
        <v>0</v>
      </c>
      <c r="BK37" s="25">
        <v>100</v>
      </c>
      <c r="BL37" s="25">
        <v>761.16666666666663</v>
      </c>
      <c r="BM37" s="25">
        <v>0</v>
      </c>
      <c r="BN37" s="239">
        <v>42</v>
      </c>
      <c r="BO37" s="239">
        <v>0</v>
      </c>
      <c r="BP37" s="239">
        <v>0</v>
      </c>
      <c r="BQ37" s="25">
        <v>100</v>
      </c>
      <c r="BR37" s="25">
        <v>798.41666666666663</v>
      </c>
      <c r="BS37" s="25">
        <v>0</v>
      </c>
      <c r="BT37" s="33">
        <v>84</v>
      </c>
      <c r="BU37" s="31">
        <v>0</v>
      </c>
      <c r="BV37" s="31">
        <v>0</v>
      </c>
      <c r="BW37" s="72">
        <v>100</v>
      </c>
      <c r="BX37" s="25">
        <v>779.79166666666663</v>
      </c>
      <c r="BY37" s="25">
        <v>0</v>
      </c>
    </row>
    <row r="38" spans="1:77" x14ac:dyDescent="0.2">
      <c r="A38" s="2" t="s">
        <v>472</v>
      </c>
      <c r="B38" s="2" t="s">
        <v>831</v>
      </c>
      <c r="C38" s="564">
        <v>42</v>
      </c>
      <c r="D38" s="564">
        <v>0</v>
      </c>
      <c r="E38" s="564">
        <v>0</v>
      </c>
      <c r="F38" s="564">
        <v>100</v>
      </c>
      <c r="G38" s="564">
        <v>589.58333333333337</v>
      </c>
      <c r="H38" s="564" t="s">
        <v>829</v>
      </c>
      <c r="I38" s="564">
        <v>41</v>
      </c>
      <c r="J38" s="564">
        <v>1</v>
      </c>
      <c r="K38" s="564">
        <v>0</v>
      </c>
      <c r="L38" s="564">
        <v>97.619047619047635</v>
      </c>
      <c r="M38" s="564">
        <v>615.5</v>
      </c>
      <c r="N38" s="564">
        <v>555</v>
      </c>
      <c r="O38" s="564">
        <v>83</v>
      </c>
      <c r="P38" s="564">
        <v>1</v>
      </c>
      <c r="Q38" s="564">
        <v>0</v>
      </c>
      <c r="R38" s="564">
        <v>98.809523809523824</v>
      </c>
      <c r="S38" s="564">
        <v>602.54166666666674</v>
      </c>
      <c r="T38" s="564">
        <v>555</v>
      </c>
      <c r="U38" s="564"/>
      <c r="V38" s="564">
        <v>42</v>
      </c>
      <c r="W38" s="564">
        <v>0</v>
      </c>
      <c r="X38" s="564">
        <v>0</v>
      </c>
      <c r="Y38" s="564">
        <v>100</v>
      </c>
      <c r="Z38" s="564">
        <v>502.5</v>
      </c>
      <c r="AA38" s="564" t="s">
        <v>829</v>
      </c>
      <c r="AB38" s="564">
        <v>42</v>
      </c>
      <c r="AC38" s="564">
        <v>0</v>
      </c>
      <c r="AD38" s="564">
        <v>0</v>
      </c>
      <c r="AE38" s="564">
        <v>100</v>
      </c>
      <c r="AF38" s="564">
        <v>636.66666666666663</v>
      </c>
      <c r="AG38" s="564" t="s">
        <v>829</v>
      </c>
      <c r="AH38" s="564">
        <v>84</v>
      </c>
      <c r="AI38" s="564">
        <v>0</v>
      </c>
      <c r="AJ38" s="564">
        <v>0</v>
      </c>
      <c r="AK38" s="564">
        <v>100</v>
      </c>
      <c r="AL38" s="564">
        <v>569.58333333333326</v>
      </c>
      <c r="AM38" s="564">
        <v>0</v>
      </c>
      <c r="AN38" s="2" t="s">
        <v>68</v>
      </c>
      <c r="AO38" s="69">
        <v>42</v>
      </c>
      <c r="AP38" s="69">
        <v>0</v>
      </c>
      <c r="AQ38" s="69">
        <v>0</v>
      </c>
      <c r="AR38" s="68">
        <v>100</v>
      </c>
      <c r="AS38" s="68">
        <v>567.66666666666663</v>
      </c>
      <c r="AT38" s="68">
        <v>0</v>
      </c>
      <c r="AU38" s="69">
        <v>42</v>
      </c>
      <c r="AV38" s="69">
        <v>0</v>
      </c>
      <c r="AW38" s="69">
        <v>0</v>
      </c>
      <c r="AX38" s="68">
        <v>100</v>
      </c>
      <c r="AY38" s="68">
        <v>649.66666666666663</v>
      </c>
      <c r="AZ38" s="68">
        <v>0</v>
      </c>
      <c r="BA38" s="69">
        <v>84</v>
      </c>
      <c r="BB38" s="69">
        <v>0</v>
      </c>
      <c r="BC38" s="69">
        <v>0</v>
      </c>
      <c r="BD38" s="68">
        <v>100</v>
      </c>
      <c r="BE38" s="68">
        <v>608.66666666666663</v>
      </c>
      <c r="BF38" s="68">
        <v>0</v>
      </c>
      <c r="BH38" s="31">
        <v>41</v>
      </c>
      <c r="BI38" s="31">
        <v>0</v>
      </c>
      <c r="BJ38" s="31">
        <v>1</v>
      </c>
      <c r="BK38" s="25">
        <v>97.619047619047635</v>
      </c>
      <c r="BL38" s="25">
        <v>471.33333333333331</v>
      </c>
      <c r="BM38" s="25">
        <v>0</v>
      </c>
      <c r="BN38" s="239">
        <v>41</v>
      </c>
      <c r="BO38" s="239">
        <v>1</v>
      </c>
      <c r="BP38" s="239">
        <v>0</v>
      </c>
      <c r="BQ38" s="25">
        <v>97.619047619047635</v>
      </c>
      <c r="BR38" s="25">
        <v>550.91666666666663</v>
      </c>
      <c r="BS38" s="25">
        <v>463</v>
      </c>
      <c r="BT38" s="33">
        <v>82</v>
      </c>
      <c r="BU38" s="31">
        <v>1</v>
      </c>
      <c r="BV38" s="31">
        <v>1</v>
      </c>
      <c r="BW38" s="72">
        <v>97.619047619047635</v>
      </c>
      <c r="BX38" s="25">
        <v>511.125</v>
      </c>
      <c r="BY38" s="25">
        <v>463</v>
      </c>
    </row>
    <row r="39" spans="1:77" x14ac:dyDescent="0.2">
      <c r="A39" s="2" t="s">
        <v>473</v>
      </c>
      <c r="B39" s="2" t="s">
        <v>68</v>
      </c>
      <c r="C39" s="564">
        <v>42</v>
      </c>
      <c r="D39" s="564">
        <v>0</v>
      </c>
      <c r="E39" s="564">
        <v>0</v>
      </c>
      <c r="F39" s="564">
        <v>100</v>
      </c>
      <c r="G39" s="564">
        <v>489.08333333333331</v>
      </c>
      <c r="H39" s="564" t="s">
        <v>829</v>
      </c>
      <c r="I39" s="564">
        <v>42</v>
      </c>
      <c r="J39" s="564">
        <v>0</v>
      </c>
      <c r="K39" s="564">
        <v>0</v>
      </c>
      <c r="L39" s="564">
        <v>100</v>
      </c>
      <c r="M39" s="564">
        <v>473.83333333333331</v>
      </c>
      <c r="N39" s="564" t="s">
        <v>829</v>
      </c>
      <c r="O39" s="564">
        <v>84</v>
      </c>
      <c r="P39" s="564">
        <v>0</v>
      </c>
      <c r="Q39" s="564">
        <v>0</v>
      </c>
      <c r="R39" s="564">
        <v>100</v>
      </c>
      <c r="S39" s="564">
        <v>481.45833333333331</v>
      </c>
      <c r="T39" s="564">
        <v>0</v>
      </c>
      <c r="U39" s="564"/>
      <c r="V39" s="564">
        <v>41</v>
      </c>
      <c r="W39" s="564">
        <v>0</v>
      </c>
      <c r="X39" s="564">
        <v>1</v>
      </c>
      <c r="Y39" s="564">
        <v>97.619047619047635</v>
      </c>
      <c r="Z39" s="564">
        <v>610.25</v>
      </c>
      <c r="AA39" s="564" t="s">
        <v>829</v>
      </c>
      <c r="AB39" s="564">
        <v>40</v>
      </c>
      <c r="AC39" s="564">
        <v>2</v>
      </c>
      <c r="AD39" s="564">
        <v>0</v>
      </c>
      <c r="AE39" s="564">
        <v>95.238095238095241</v>
      </c>
      <c r="AF39" s="564">
        <v>745</v>
      </c>
      <c r="AG39" s="564">
        <v>1034.5</v>
      </c>
      <c r="AH39" s="564">
        <v>81</v>
      </c>
      <c r="AI39" s="564">
        <v>2</v>
      </c>
      <c r="AJ39" s="564">
        <v>1</v>
      </c>
      <c r="AK39" s="564">
        <v>96.428571428571445</v>
      </c>
      <c r="AL39" s="564">
        <v>677.625</v>
      </c>
      <c r="AM39" s="564">
        <v>1034.5</v>
      </c>
      <c r="AN39" s="2" t="s">
        <v>67</v>
      </c>
      <c r="AO39" s="69">
        <v>42</v>
      </c>
      <c r="AP39" s="69">
        <v>0</v>
      </c>
      <c r="AQ39" s="69">
        <v>0</v>
      </c>
      <c r="AR39" s="68">
        <v>100</v>
      </c>
      <c r="AS39" s="68">
        <v>486.66666666666669</v>
      </c>
      <c r="AT39" s="68">
        <v>0</v>
      </c>
      <c r="AU39" s="69">
        <v>42</v>
      </c>
      <c r="AV39" s="69">
        <v>0</v>
      </c>
      <c r="AW39" s="69">
        <v>0</v>
      </c>
      <c r="AX39" s="68">
        <v>100</v>
      </c>
      <c r="AY39" s="68">
        <v>497.16666666666669</v>
      </c>
      <c r="AZ39" s="68">
        <v>0</v>
      </c>
      <c r="BA39" s="69">
        <v>84</v>
      </c>
      <c r="BB39" s="69">
        <v>0</v>
      </c>
      <c r="BC39" s="69">
        <v>0</v>
      </c>
      <c r="BD39" s="25">
        <v>100</v>
      </c>
      <c r="BE39" s="25">
        <v>491.91666666666669</v>
      </c>
      <c r="BF39" s="37">
        <v>0</v>
      </c>
      <c r="BH39" s="31">
        <v>41</v>
      </c>
      <c r="BI39" s="31">
        <v>0</v>
      </c>
      <c r="BJ39" s="31">
        <v>1</v>
      </c>
      <c r="BK39" s="25">
        <v>97.619047619047635</v>
      </c>
      <c r="BL39" s="25">
        <v>684.3888888888888</v>
      </c>
      <c r="BM39" s="25">
        <v>0</v>
      </c>
      <c r="BN39" s="239">
        <v>42</v>
      </c>
      <c r="BO39" s="239">
        <v>0</v>
      </c>
      <c r="BP39" s="239">
        <v>0</v>
      </c>
      <c r="BQ39" s="25">
        <v>100</v>
      </c>
      <c r="BR39" s="25">
        <v>730.5</v>
      </c>
      <c r="BS39" s="25">
        <v>0</v>
      </c>
      <c r="BT39" s="33">
        <v>83</v>
      </c>
      <c r="BU39" s="31">
        <v>0</v>
      </c>
      <c r="BV39" s="31">
        <v>1</v>
      </c>
      <c r="BW39" s="72">
        <v>98.809523809523824</v>
      </c>
      <c r="BX39" s="25">
        <v>707.44444444444434</v>
      </c>
      <c r="BY39" s="25">
        <v>0</v>
      </c>
    </row>
    <row r="40" spans="1:77" x14ac:dyDescent="0.2">
      <c r="C40" s="564"/>
      <c r="D40" s="564"/>
      <c r="E40" s="564"/>
      <c r="F40" s="564"/>
      <c r="G40" s="564"/>
      <c r="H40" s="564"/>
      <c r="I40" s="564"/>
      <c r="J40" s="564"/>
      <c r="K40" s="564"/>
      <c r="L40" s="564"/>
      <c r="M40" s="564"/>
      <c r="N40" s="564"/>
      <c r="O40" s="564"/>
      <c r="P40" s="564"/>
      <c r="Q40" s="564"/>
      <c r="R40" s="564"/>
      <c r="S40" s="564"/>
      <c r="T40" s="564"/>
      <c r="U40" s="564"/>
      <c r="V40" s="564"/>
      <c r="W40" s="564"/>
      <c r="X40" s="564"/>
      <c r="Y40" s="564"/>
      <c r="Z40" s="564"/>
      <c r="AA40" s="564"/>
      <c r="AB40" s="564"/>
      <c r="AC40" s="564"/>
      <c r="AD40" s="564"/>
      <c r="AE40" s="564"/>
      <c r="AF40" s="564"/>
      <c r="AG40" s="564"/>
      <c r="AH40" s="564"/>
      <c r="AI40" s="564"/>
      <c r="AJ40" s="564"/>
      <c r="AK40" s="564"/>
      <c r="AL40" s="564"/>
      <c r="AM40" s="564"/>
    </row>
    <row r="41" spans="1:77" x14ac:dyDescent="0.2">
      <c r="C41" s="564"/>
      <c r="D41" s="564"/>
      <c r="E41" s="564"/>
      <c r="F41" s="564"/>
      <c r="G41" s="564"/>
      <c r="H41" s="564"/>
      <c r="I41" s="564"/>
      <c r="J41" s="564"/>
      <c r="K41" s="564"/>
      <c r="L41" s="564"/>
      <c r="M41" s="564"/>
      <c r="N41" s="564"/>
      <c r="O41" s="564"/>
      <c r="P41" s="564"/>
      <c r="Q41" s="564"/>
      <c r="R41" s="564"/>
      <c r="S41" s="564"/>
      <c r="T41" s="564"/>
      <c r="U41" s="564"/>
      <c r="V41" s="564"/>
      <c r="W41" s="564"/>
      <c r="X41" s="564"/>
      <c r="Y41" s="564"/>
      <c r="Z41" s="564"/>
      <c r="AA41" s="564"/>
      <c r="AB41" s="564"/>
      <c r="AC41" s="564"/>
      <c r="AD41" s="564"/>
      <c r="AE41" s="564"/>
      <c r="AF41" s="564"/>
      <c r="AG41" s="564"/>
      <c r="AH41" s="564"/>
      <c r="AI41" s="564"/>
      <c r="AJ41" s="564"/>
      <c r="AK41" s="564"/>
      <c r="AL41" s="564"/>
      <c r="AM41" s="564"/>
    </row>
    <row r="42" spans="1:77" x14ac:dyDescent="0.2">
      <c r="C42" s="564"/>
      <c r="D42" s="564"/>
      <c r="E42" s="564"/>
      <c r="F42" s="564"/>
      <c r="G42" s="564"/>
      <c r="H42" s="564"/>
      <c r="I42" s="564"/>
      <c r="J42" s="564"/>
      <c r="K42" s="564"/>
      <c r="L42" s="564"/>
      <c r="M42" s="564"/>
      <c r="N42" s="564"/>
      <c r="O42" s="564"/>
      <c r="P42" s="564"/>
      <c r="Q42" s="564"/>
      <c r="R42" s="564"/>
      <c r="S42" s="564"/>
      <c r="T42" s="564"/>
      <c r="U42" s="564"/>
      <c r="V42" s="564"/>
      <c r="W42" s="564"/>
      <c r="X42" s="564"/>
      <c r="Y42" s="564"/>
      <c r="Z42" s="564"/>
      <c r="AA42" s="564"/>
      <c r="AB42" s="564"/>
      <c r="AC42" s="564"/>
      <c r="AD42" s="564"/>
      <c r="AE42" s="564"/>
      <c r="AF42" s="564"/>
      <c r="AG42" s="564"/>
      <c r="AH42" s="564"/>
      <c r="AI42" s="564"/>
      <c r="AJ42" s="564"/>
      <c r="AK42" s="564"/>
      <c r="AL42" s="564"/>
      <c r="AM42" s="564"/>
    </row>
    <row r="43" spans="1:77" x14ac:dyDescent="0.2">
      <c r="C43" s="564"/>
      <c r="D43" s="564"/>
      <c r="E43" s="564"/>
      <c r="F43" s="564"/>
      <c r="G43" s="564"/>
      <c r="H43" s="564"/>
      <c r="I43" s="564"/>
      <c r="J43" s="564"/>
      <c r="K43" s="564"/>
      <c r="L43" s="564"/>
      <c r="M43" s="564"/>
      <c r="N43" s="564"/>
      <c r="O43" s="564"/>
      <c r="P43" s="564"/>
      <c r="Q43" s="564"/>
      <c r="R43" s="564"/>
      <c r="S43" s="564"/>
      <c r="T43" s="564"/>
      <c r="U43" s="564"/>
      <c r="V43" s="564"/>
      <c r="W43" s="564"/>
      <c r="X43" s="564"/>
      <c r="Y43" s="564"/>
      <c r="Z43" s="564"/>
      <c r="AA43" s="564"/>
      <c r="AB43" s="564"/>
      <c r="AC43" s="564"/>
      <c r="AD43" s="564"/>
      <c r="AE43" s="564"/>
      <c r="AF43" s="564"/>
      <c r="AG43" s="564"/>
      <c r="AH43" s="564"/>
      <c r="AI43" s="564"/>
      <c r="AJ43" s="564"/>
      <c r="AK43" s="564"/>
      <c r="AL43" s="564"/>
      <c r="AM43" s="564"/>
    </row>
    <row r="44" spans="1:77" x14ac:dyDescent="0.2">
      <c r="C44" s="564"/>
      <c r="D44" s="564"/>
      <c r="E44" s="564"/>
      <c r="F44" s="564"/>
      <c r="G44" s="564"/>
      <c r="H44" s="564"/>
      <c r="I44" s="564"/>
      <c r="J44" s="564"/>
      <c r="K44" s="564"/>
      <c r="L44" s="564"/>
      <c r="M44" s="564"/>
      <c r="N44" s="564"/>
      <c r="O44" s="564"/>
      <c r="P44" s="564"/>
      <c r="Q44" s="564"/>
      <c r="R44" s="564"/>
      <c r="S44" s="564"/>
      <c r="T44" s="564"/>
      <c r="U44" s="564"/>
      <c r="V44" s="564"/>
      <c r="W44" s="564"/>
      <c r="X44" s="564"/>
      <c r="Y44" s="564"/>
      <c r="Z44" s="564"/>
      <c r="AA44" s="564"/>
      <c r="AB44" s="564"/>
      <c r="AC44" s="564"/>
      <c r="AD44" s="564"/>
      <c r="AE44" s="564"/>
      <c r="AF44" s="564"/>
      <c r="AG44" s="564"/>
      <c r="AH44" s="564"/>
      <c r="AI44" s="564"/>
      <c r="AJ44" s="564"/>
      <c r="AK44" s="564"/>
      <c r="AL44" s="564"/>
      <c r="AM44" s="564"/>
    </row>
    <row r="45" spans="1:77" x14ac:dyDescent="0.2">
      <c r="C45" s="564"/>
      <c r="D45" s="564"/>
      <c r="E45" s="564"/>
      <c r="F45" s="564"/>
      <c r="G45" s="564"/>
      <c r="H45" s="564"/>
      <c r="I45" s="564"/>
      <c r="J45" s="564"/>
      <c r="K45" s="564"/>
      <c r="L45" s="564"/>
      <c r="M45" s="564"/>
      <c r="N45" s="564"/>
      <c r="O45" s="564"/>
      <c r="P45" s="564"/>
      <c r="Q45" s="564"/>
      <c r="R45" s="564"/>
      <c r="S45" s="564"/>
      <c r="T45" s="564"/>
      <c r="U45" s="564"/>
      <c r="V45" s="564"/>
      <c r="W45" s="564"/>
      <c r="X45" s="564"/>
      <c r="Y45" s="564"/>
      <c r="Z45" s="564"/>
      <c r="AA45" s="564"/>
      <c r="AB45" s="564"/>
      <c r="AC45" s="564"/>
      <c r="AD45" s="564"/>
      <c r="AE45" s="564"/>
      <c r="AF45" s="564"/>
      <c r="AG45" s="564"/>
      <c r="AH45" s="564"/>
      <c r="AI45" s="564"/>
      <c r="AJ45" s="564"/>
      <c r="AK45" s="564"/>
      <c r="AL45" s="564"/>
      <c r="AM45" s="564"/>
    </row>
    <row r="46" spans="1:77" x14ac:dyDescent="0.2">
      <c r="C46" s="564"/>
      <c r="D46" s="564"/>
      <c r="E46" s="564"/>
      <c r="F46" s="564"/>
      <c r="G46" s="564"/>
      <c r="H46" s="564"/>
      <c r="I46" s="564"/>
      <c r="J46" s="564"/>
      <c r="K46" s="564"/>
      <c r="L46" s="564"/>
      <c r="M46" s="564"/>
      <c r="N46" s="564"/>
      <c r="O46" s="564"/>
      <c r="P46" s="564"/>
      <c r="Q46" s="564"/>
      <c r="R46" s="564"/>
      <c r="S46" s="564"/>
      <c r="T46" s="564"/>
      <c r="U46" s="564"/>
      <c r="V46" s="564"/>
      <c r="W46" s="564"/>
      <c r="X46" s="564"/>
      <c r="Y46" s="564"/>
      <c r="Z46" s="564"/>
      <c r="AA46" s="564"/>
      <c r="AB46" s="564"/>
      <c r="AC46" s="564"/>
      <c r="AD46" s="564"/>
      <c r="AE46" s="564"/>
      <c r="AF46" s="564"/>
      <c r="AG46" s="564"/>
      <c r="AH46" s="564"/>
      <c r="AI46" s="564"/>
      <c r="AJ46" s="564"/>
      <c r="AK46" s="564"/>
      <c r="AL46" s="564"/>
      <c r="AM46" s="564"/>
    </row>
    <row r="47" spans="1:77" ht="16" thickBot="1" x14ac:dyDescent="0.25">
      <c r="A47" s="258"/>
      <c r="B47" s="258"/>
      <c r="C47" s="565"/>
      <c r="D47" s="565"/>
      <c r="E47" s="565"/>
      <c r="F47" s="565"/>
      <c r="G47" s="565"/>
      <c r="H47" s="565"/>
      <c r="I47" s="565"/>
      <c r="J47" s="565"/>
      <c r="K47" s="565"/>
      <c r="L47" s="565"/>
      <c r="M47" s="565"/>
      <c r="N47" s="565"/>
      <c r="O47" s="565"/>
      <c r="P47" s="565"/>
      <c r="Q47" s="565"/>
      <c r="R47" s="565"/>
      <c r="S47" s="565"/>
      <c r="T47" s="565"/>
      <c r="U47" s="565"/>
      <c r="V47" s="565"/>
      <c r="W47" s="565"/>
      <c r="X47" s="565"/>
      <c r="Y47" s="565"/>
      <c r="Z47" s="565"/>
      <c r="AA47" s="565"/>
      <c r="AB47" s="565"/>
      <c r="AC47" s="565"/>
      <c r="AD47" s="565"/>
      <c r="AE47" s="565"/>
      <c r="AF47" s="565"/>
      <c r="AG47" s="565"/>
      <c r="AH47" s="565"/>
      <c r="AI47" s="565"/>
      <c r="AJ47" s="565"/>
      <c r="AK47" s="565"/>
      <c r="AL47" s="565"/>
      <c r="AM47" s="565"/>
      <c r="AN47" s="258"/>
      <c r="AO47" s="259"/>
      <c r="AP47" s="259"/>
      <c r="AQ47" s="259"/>
      <c r="AR47" s="260"/>
      <c r="AS47" s="260"/>
      <c r="AT47" s="260"/>
      <c r="AU47" s="259"/>
      <c r="AV47" s="259"/>
      <c r="AW47" s="259"/>
      <c r="AX47" s="260"/>
      <c r="AY47" s="260"/>
      <c r="AZ47" s="260"/>
      <c r="BA47" s="259"/>
      <c r="BB47" s="259"/>
      <c r="BC47" s="259"/>
      <c r="BD47" s="261"/>
      <c r="BE47" s="261"/>
      <c r="BF47" s="217"/>
      <c r="BH47" s="262"/>
      <c r="BI47" s="262"/>
      <c r="BJ47" s="262"/>
      <c r="BK47" s="261"/>
      <c r="BL47" s="261"/>
      <c r="BM47" s="261"/>
      <c r="BN47" s="263"/>
      <c r="BO47" s="263"/>
      <c r="BP47" s="263"/>
      <c r="BQ47" s="261"/>
      <c r="BR47" s="261"/>
      <c r="BS47" s="261"/>
      <c r="BT47" s="264"/>
      <c r="BU47" s="262"/>
      <c r="BV47" s="262"/>
      <c r="BW47" s="265"/>
      <c r="BX47" s="261"/>
      <c r="BY47" s="261"/>
    </row>
    <row r="48" spans="1:77" s="276" customFormat="1" ht="16" thickBot="1" x14ac:dyDescent="0.25">
      <c r="A48" s="553" t="s">
        <v>36</v>
      </c>
      <c r="B48" s="554"/>
      <c r="C48" s="552"/>
      <c r="D48" s="552"/>
      <c r="E48" s="552"/>
      <c r="F48" s="552"/>
      <c r="G48" s="552"/>
      <c r="H48" s="552"/>
      <c r="I48" s="552"/>
      <c r="J48" s="552"/>
      <c r="K48" s="552"/>
      <c r="L48" s="552"/>
      <c r="M48" s="552"/>
      <c r="N48" s="552"/>
      <c r="O48" s="552"/>
      <c r="P48" s="552"/>
      <c r="Q48" s="552"/>
      <c r="R48" s="552"/>
      <c r="S48" s="552"/>
      <c r="T48" s="552"/>
      <c r="U48" s="552"/>
      <c r="V48" s="552"/>
      <c r="W48" s="552"/>
      <c r="X48" s="552"/>
      <c r="Y48" s="552"/>
      <c r="Z48" s="552"/>
      <c r="AA48" s="552"/>
      <c r="AB48" s="552"/>
      <c r="AC48" s="552"/>
      <c r="AD48" s="552"/>
      <c r="AE48" s="552"/>
      <c r="AF48" s="552"/>
      <c r="AG48" s="552"/>
      <c r="AH48" s="552"/>
      <c r="AI48" s="552"/>
      <c r="AJ48" s="552"/>
      <c r="AK48" s="552"/>
      <c r="AL48" s="552"/>
      <c r="AM48" s="552"/>
      <c r="AN48" s="268"/>
      <c r="AO48" s="269"/>
      <c r="AP48" s="269"/>
      <c r="AQ48" s="269"/>
      <c r="AR48" s="270"/>
      <c r="AS48" s="270"/>
      <c r="AT48" s="270"/>
      <c r="AU48" s="269"/>
      <c r="AV48" s="269"/>
      <c r="AW48" s="269"/>
      <c r="AX48" s="270"/>
      <c r="AY48" s="270"/>
      <c r="AZ48" s="270"/>
      <c r="BA48" s="269"/>
      <c r="BB48" s="269"/>
      <c r="BC48" s="269"/>
      <c r="BD48" s="270"/>
      <c r="BE48" s="270"/>
      <c r="BF48" s="271"/>
      <c r="BG48" s="272"/>
      <c r="BH48" s="273"/>
      <c r="BI48" s="273"/>
      <c r="BJ48" s="273"/>
      <c r="BK48" s="270"/>
      <c r="BL48" s="270"/>
      <c r="BM48" s="270"/>
      <c r="BN48" s="269"/>
      <c r="BO48" s="269"/>
      <c r="BP48" s="269"/>
      <c r="BQ48" s="270"/>
      <c r="BR48" s="270"/>
      <c r="BS48" s="270"/>
      <c r="BT48" s="274"/>
      <c r="BU48" s="273"/>
      <c r="BV48" s="273"/>
      <c r="BW48" s="275"/>
      <c r="BX48" s="270"/>
      <c r="BY48" s="270"/>
    </row>
    <row r="49" spans="1:78" x14ac:dyDescent="0.2">
      <c r="A49" s="60" t="s">
        <v>98</v>
      </c>
      <c r="B49" s="60" t="s">
        <v>68</v>
      </c>
      <c r="C49" s="555">
        <v>42</v>
      </c>
      <c r="D49" s="555">
        <v>0</v>
      </c>
      <c r="E49" s="555">
        <v>0</v>
      </c>
      <c r="F49" s="550">
        <v>100</v>
      </c>
      <c r="G49" s="550">
        <v>408.25</v>
      </c>
      <c r="H49" s="550">
        <v>0</v>
      </c>
      <c r="I49" s="555">
        <v>41</v>
      </c>
      <c r="J49" s="555">
        <v>1</v>
      </c>
      <c r="K49" s="555">
        <v>0</v>
      </c>
      <c r="L49" s="550">
        <v>97.619047619047635</v>
      </c>
      <c r="M49" s="550">
        <v>423.33333333333331</v>
      </c>
      <c r="N49" s="550">
        <v>438</v>
      </c>
      <c r="O49" s="555">
        <v>83</v>
      </c>
      <c r="P49" s="555">
        <v>1</v>
      </c>
      <c r="Q49" s="555">
        <v>0</v>
      </c>
      <c r="R49" s="550">
        <v>98.809523809523824</v>
      </c>
      <c r="S49" s="550">
        <v>415.79166666666663</v>
      </c>
      <c r="T49" s="550">
        <v>438</v>
      </c>
      <c r="U49" s="551"/>
      <c r="V49" s="555">
        <v>42</v>
      </c>
      <c r="W49" s="555">
        <v>0</v>
      </c>
      <c r="X49" s="555">
        <v>0</v>
      </c>
      <c r="Y49" s="550">
        <v>100</v>
      </c>
      <c r="Z49" s="550">
        <v>597.75</v>
      </c>
      <c r="AA49" s="550">
        <v>0</v>
      </c>
      <c r="AB49" s="555">
        <v>41</v>
      </c>
      <c r="AC49" s="555">
        <v>0</v>
      </c>
      <c r="AD49" s="555">
        <v>1</v>
      </c>
      <c r="AE49" s="550">
        <v>97.619047619047635</v>
      </c>
      <c r="AF49" s="550">
        <v>559.58333333333337</v>
      </c>
      <c r="AG49" s="550">
        <v>0</v>
      </c>
      <c r="AH49" s="555">
        <v>83</v>
      </c>
      <c r="AI49" s="555">
        <v>0</v>
      </c>
      <c r="AJ49" s="555">
        <v>1</v>
      </c>
      <c r="AK49" s="550">
        <v>98.809523809523824</v>
      </c>
      <c r="AL49" s="550">
        <v>578.66666666666674</v>
      </c>
      <c r="AM49" s="550">
        <v>0</v>
      </c>
      <c r="AN49" s="60" t="s">
        <v>68</v>
      </c>
      <c r="AO49" s="64">
        <v>42</v>
      </c>
      <c r="AP49" s="64">
        <v>0</v>
      </c>
      <c r="AQ49" s="64">
        <v>0</v>
      </c>
      <c r="AR49" s="81">
        <v>100</v>
      </c>
      <c r="AS49" s="81">
        <v>412.83333333333331</v>
      </c>
      <c r="AT49" s="81">
        <v>0</v>
      </c>
      <c r="AU49" s="64">
        <v>42</v>
      </c>
      <c r="AV49" s="64">
        <v>0</v>
      </c>
      <c r="AW49" s="64">
        <v>0</v>
      </c>
      <c r="AX49" s="81">
        <v>100</v>
      </c>
      <c r="AY49" s="81">
        <v>386.41666666666669</v>
      </c>
      <c r="AZ49" s="81">
        <v>0</v>
      </c>
      <c r="BA49" s="64">
        <v>84</v>
      </c>
      <c r="BB49" s="64">
        <v>0</v>
      </c>
      <c r="BC49" s="64">
        <v>0</v>
      </c>
      <c r="BD49" s="70">
        <v>100</v>
      </c>
      <c r="BE49" s="70">
        <v>399.625</v>
      </c>
      <c r="BF49" s="71">
        <v>0</v>
      </c>
      <c r="BH49" s="32">
        <v>41</v>
      </c>
      <c r="BI49" s="32">
        <v>0</v>
      </c>
      <c r="BJ49" s="32">
        <v>1</v>
      </c>
      <c r="BK49" s="70">
        <v>97.619047619047635</v>
      </c>
      <c r="BL49" s="70">
        <v>596.1388888888888</v>
      </c>
      <c r="BM49" s="70">
        <v>0</v>
      </c>
      <c r="BN49" s="266">
        <v>42</v>
      </c>
      <c r="BO49" s="266">
        <v>0</v>
      </c>
      <c r="BP49" s="266">
        <v>0</v>
      </c>
      <c r="BQ49" s="70">
        <v>100</v>
      </c>
      <c r="BR49" s="70">
        <v>578.33333333333337</v>
      </c>
      <c r="BS49" s="70">
        <v>0</v>
      </c>
      <c r="BT49" s="267">
        <v>83</v>
      </c>
      <c r="BU49" s="32">
        <v>0</v>
      </c>
      <c r="BV49" s="32">
        <v>1</v>
      </c>
      <c r="BW49" s="73">
        <v>98.809523809523824</v>
      </c>
      <c r="BX49" s="70">
        <v>587.23611111111109</v>
      </c>
      <c r="BY49" s="70">
        <v>0</v>
      </c>
    </row>
    <row r="50" spans="1:78" x14ac:dyDescent="0.2">
      <c r="A50" s="2" t="s">
        <v>100</v>
      </c>
      <c r="B50" s="2" t="s">
        <v>67</v>
      </c>
      <c r="C50" s="564">
        <v>42</v>
      </c>
      <c r="D50" s="564">
        <v>0</v>
      </c>
      <c r="E50" s="564">
        <v>0</v>
      </c>
      <c r="F50" s="550">
        <v>100</v>
      </c>
      <c r="G50" s="550">
        <v>407</v>
      </c>
      <c r="H50" s="550" t="s">
        <v>829</v>
      </c>
      <c r="I50" s="564">
        <v>42</v>
      </c>
      <c r="J50" s="564">
        <v>0</v>
      </c>
      <c r="K50" s="564">
        <v>0</v>
      </c>
      <c r="L50" s="550">
        <v>100</v>
      </c>
      <c r="M50" s="550">
        <v>409.66666666666669</v>
      </c>
      <c r="N50" s="550" t="s">
        <v>829</v>
      </c>
      <c r="O50" s="564">
        <v>84</v>
      </c>
      <c r="P50" s="564">
        <v>0</v>
      </c>
      <c r="Q50" s="564">
        <v>0</v>
      </c>
      <c r="R50" s="550">
        <v>100</v>
      </c>
      <c r="S50" s="550">
        <v>408.33333333333337</v>
      </c>
      <c r="T50" s="550">
        <v>0</v>
      </c>
      <c r="V50" s="564">
        <v>42</v>
      </c>
      <c r="W50" s="564">
        <v>0</v>
      </c>
      <c r="X50" s="564">
        <v>0</v>
      </c>
      <c r="Y50" s="550">
        <v>100</v>
      </c>
      <c r="Z50" s="550">
        <v>448.16666666666669</v>
      </c>
      <c r="AA50" s="550">
        <v>0</v>
      </c>
      <c r="AB50" s="564">
        <v>41</v>
      </c>
      <c r="AC50" s="564">
        <v>0</v>
      </c>
      <c r="AD50" s="564">
        <v>1</v>
      </c>
      <c r="AE50" s="550">
        <v>97.619047619047635</v>
      </c>
      <c r="AF50" s="550">
        <v>436.25</v>
      </c>
      <c r="AG50" s="550">
        <v>0</v>
      </c>
      <c r="AH50" s="564">
        <v>83</v>
      </c>
      <c r="AI50" s="564">
        <v>0</v>
      </c>
      <c r="AJ50" s="564">
        <v>1</v>
      </c>
      <c r="AK50" s="550">
        <v>98.809523809523824</v>
      </c>
      <c r="AL50" s="550">
        <v>442.20833333333337</v>
      </c>
      <c r="AM50" s="550">
        <v>0</v>
      </c>
      <c r="AN50" s="2" t="s">
        <v>67</v>
      </c>
      <c r="AO50" s="69">
        <v>42</v>
      </c>
      <c r="AP50" s="69">
        <v>0</v>
      </c>
      <c r="AQ50" s="69">
        <v>0</v>
      </c>
      <c r="AR50" s="68">
        <v>100</v>
      </c>
      <c r="AS50" s="68">
        <v>395.5</v>
      </c>
      <c r="AT50" s="68">
        <v>0</v>
      </c>
      <c r="AU50" s="69">
        <v>42</v>
      </c>
      <c r="AV50" s="69">
        <v>0</v>
      </c>
      <c r="AW50" s="69">
        <v>0</v>
      </c>
      <c r="AX50" s="68">
        <v>100</v>
      </c>
      <c r="AY50" s="68">
        <v>397.16666666666669</v>
      </c>
      <c r="AZ50" s="68">
        <v>0</v>
      </c>
      <c r="BA50" s="69">
        <v>84</v>
      </c>
      <c r="BB50" s="69">
        <v>0</v>
      </c>
      <c r="BC50" s="69">
        <v>0</v>
      </c>
      <c r="BD50" s="25">
        <v>100</v>
      </c>
      <c r="BE50" s="25">
        <v>396.33333333333337</v>
      </c>
      <c r="BF50" s="37">
        <v>0</v>
      </c>
      <c r="BH50" s="31">
        <v>42</v>
      </c>
      <c r="BI50" s="31">
        <v>0</v>
      </c>
      <c r="BJ50" s="31">
        <v>0</v>
      </c>
      <c r="BK50" s="25">
        <v>100</v>
      </c>
      <c r="BL50" s="25">
        <v>465.08333333333331</v>
      </c>
      <c r="BM50" s="25">
        <v>0</v>
      </c>
      <c r="BN50" s="239">
        <v>42</v>
      </c>
      <c r="BO50" s="239">
        <v>0</v>
      </c>
      <c r="BP50" s="239">
        <v>0</v>
      </c>
      <c r="BQ50" s="25">
        <v>100</v>
      </c>
      <c r="BR50" s="25">
        <v>507.91666666666669</v>
      </c>
      <c r="BS50" s="25">
        <v>0</v>
      </c>
      <c r="BT50" s="33">
        <v>84</v>
      </c>
      <c r="BU50" s="31">
        <v>0</v>
      </c>
      <c r="BV50" s="31">
        <v>0</v>
      </c>
      <c r="BW50" s="72">
        <v>100</v>
      </c>
      <c r="BX50" s="25">
        <v>486.5</v>
      </c>
      <c r="BY50" s="25">
        <v>0</v>
      </c>
    </row>
    <row r="51" spans="1:78" x14ac:dyDescent="0.2">
      <c r="A51" s="2" t="s">
        <v>107</v>
      </c>
      <c r="B51" s="2" t="s">
        <v>67</v>
      </c>
      <c r="C51" s="564">
        <v>37</v>
      </c>
      <c r="D51" s="564">
        <v>2</v>
      </c>
      <c r="E51" s="564">
        <v>3</v>
      </c>
      <c r="F51" s="550">
        <v>88.095238095238088</v>
      </c>
      <c r="G51" s="550">
        <v>450.3055555555556</v>
      </c>
      <c r="H51" s="550">
        <v>584.5</v>
      </c>
      <c r="I51" s="564">
        <v>42</v>
      </c>
      <c r="J51" s="564">
        <v>0</v>
      </c>
      <c r="K51" s="564">
        <v>0</v>
      </c>
      <c r="L51" s="550">
        <v>100</v>
      </c>
      <c r="M51" s="550">
        <v>449.25</v>
      </c>
      <c r="N51" s="550" t="s">
        <v>829</v>
      </c>
      <c r="O51" s="564">
        <v>79</v>
      </c>
      <c r="P51" s="564">
        <v>2</v>
      </c>
      <c r="Q51" s="564">
        <v>3</v>
      </c>
      <c r="R51" s="550">
        <v>94.047619047619037</v>
      </c>
      <c r="S51" s="550">
        <v>449.77777777777783</v>
      </c>
      <c r="T51" s="550">
        <v>584.5</v>
      </c>
      <c r="V51" s="564">
        <v>41</v>
      </c>
      <c r="W51" s="564">
        <v>1</v>
      </c>
      <c r="X51" s="564">
        <v>0</v>
      </c>
      <c r="Y51" s="662">
        <v>97.619047619047635</v>
      </c>
      <c r="Z51" s="662">
        <v>571.58333333333337</v>
      </c>
      <c r="AA51" s="662">
        <v>695</v>
      </c>
      <c r="AB51" s="564">
        <v>42</v>
      </c>
      <c r="AC51" s="564">
        <v>0</v>
      </c>
      <c r="AD51" s="564">
        <v>0</v>
      </c>
      <c r="AE51" s="550">
        <v>100</v>
      </c>
      <c r="AF51" s="550">
        <v>500.91666666666669</v>
      </c>
      <c r="AG51" s="550" t="s">
        <v>829</v>
      </c>
      <c r="AH51" s="564">
        <v>83</v>
      </c>
      <c r="AI51" s="564">
        <v>1</v>
      </c>
      <c r="AJ51" s="564">
        <v>0</v>
      </c>
      <c r="AK51" s="550">
        <v>98.809523809523824</v>
      </c>
      <c r="AL51" s="550">
        <v>536.25</v>
      </c>
      <c r="AM51" s="550">
        <v>695</v>
      </c>
      <c r="AN51" s="2" t="s">
        <v>67</v>
      </c>
      <c r="AO51" s="69">
        <v>40</v>
      </c>
      <c r="AP51" s="69">
        <v>0</v>
      </c>
      <c r="AQ51" s="69">
        <v>0</v>
      </c>
      <c r="AR51" s="68">
        <v>100</v>
      </c>
      <c r="AS51" s="68">
        <v>408.66666666666669</v>
      </c>
      <c r="AT51" s="68">
        <v>0</v>
      </c>
      <c r="AU51" s="69">
        <v>42</v>
      </c>
      <c r="AV51" s="69">
        <v>0</v>
      </c>
      <c r="AW51" s="69">
        <v>0</v>
      </c>
      <c r="AX51" s="68">
        <v>100</v>
      </c>
      <c r="AY51" s="68">
        <v>402.91666666666669</v>
      </c>
      <c r="AZ51" s="68">
        <v>0</v>
      </c>
      <c r="BA51" s="69">
        <v>84</v>
      </c>
      <c r="BB51" s="69">
        <v>0</v>
      </c>
      <c r="BC51" s="69">
        <v>0</v>
      </c>
      <c r="BD51" s="25">
        <v>100</v>
      </c>
      <c r="BE51" s="25">
        <v>405.79166666666669</v>
      </c>
      <c r="BF51" s="37">
        <v>0</v>
      </c>
      <c r="BH51" s="31">
        <v>42</v>
      </c>
      <c r="BI51" s="31">
        <v>0</v>
      </c>
      <c r="BJ51" s="31">
        <v>0</v>
      </c>
      <c r="BK51" s="25">
        <v>100</v>
      </c>
      <c r="BL51" s="25">
        <v>541.33333333333337</v>
      </c>
      <c r="BM51" s="25">
        <v>0</v>
      </c>
      <c r="BN51" s="239">
        <v>42</v>
      </c>
      <c r="BO51" s="239">
        <v>0</v>
      </c>
      <c r="BP51" s="239">
        <v>0</v>
      </c>
      <c r="BQ51" s="25">
        <v>100</v>
      </c>
      <c r="BR51" s="25">
        <v>445.58333333333331</v>
      </c>
      <c r="BS51" s="25">
        <v>0</v>
      </c>
      <c r="BT51" s="33">
        <v>84</v>
      </c>
      <c r="BU51" s="31">
        <v>0</v>
      </c>
      <c r="BV51" s="31">
        <v>0</v>
      </c>
      <c r="BW51" s="72">
        <v>100</v>
      </c>
      <c r="BX51" s="25">
        <v>493.45833333333337</v>
      </c>
      <c r="BY51" s="25">
        <v>0</v>
      </c>
    </row>
    <row r="52" spans="1:78" x14ac:dyDescent="0.2">
      <c r="A52" s="2" t="s">
        <v>168</v>
      </c>
      <c r="B52" s="2" t="s">
        <v>68</v>
      </c>
      <c r="C52" s="550">
        <v>42</v>
      </c>
      <c r="D52" s="550">
        <v>0</v>
      </c>
      <c r="E52" s="550">
        <v>0</v>
      </c>
      <c r="F52" s="550">
        <v>100</v>
      </c>
      <c r="G52" s="550">
        <v>367.75</v>
      </c>
      <c r="H52" s="550" t="s">
        <v>829</v>
      </c>
      <c r="I52" s="550">
        <v>42</v>
      </c>
      <c r="J52" s="550">
        <v>0</v>
      </c>
      <c r="K52" s="550">
        <v>0</v>
      </c>
      <c r="L52" s="550">
        <v>100</v>
      </c>
      <c r="M52" s="550">
        <v>368.91666666666669</v>
      </c>
      <c r="N52" s="550" t="s">
        <v>829</v>
      </c>
      <c r="O52" s="550">
        <v>84</v>
      </c>
      <c r="P52" s="550">
        <v>0</v>
      </c>
      <c r="Q52" s="550">
        <v>0</v>
      </c>
      <c r="R52" s="550">
        <v>100</v>
      </c>
      <c r="S52" s="550">
        <v>368.33333333333337</v>
      </c>
      <c r="T52" s="550">
        <v>0</v>
      </c>
      <c r="V52" s="550">
        <v>42</v>
      </c>
      <c r="W52" s="550">
        <v>0</v>
      </c>
      <c r="X52" s="550">
        <v>0</v>
      </c>
      <c r="Y52" s="550">
        <v>100</v>
      </c>
      <c r="Z52" s="550">
        <v>398.08333333333331</v>
      </c>
      <c r="AA52" s="550" t="s">
        <v>829</v>
      </c>
      <c r="AB52" s="550">
        <v>42</v>
      </c>
      <c r="AC52" s="550">
        <v>0</v>
      </c>
      <c r="AD52" s="550">
        <v>0</v>
      </c>
      <c r="AE52" s="550">
        <v>100</v>
      </c>
      <c r="AF52" s="550">
        <v>408</v>
      </c>
      <c r="AG52" s="550" t="s">
        <v>829</v>
      </c>
      <c r="AH52" s="550">
        <v>84</v>
      </c>
      <c r="AI52" s="550">
        <v>0</v>
      </c>
      <c r="AJ52" s="550">
        <v>0</v>
      </c>
      <c r="AK52" s="550">
        <v>100</v>
      </c>
      <c r="AL52" s="550">
        <v>403.04166666666663</v>
      </c>
      <c r="AM52" s="550">
        <v>0</v>
      </c>
      <c r="AN52" s="2" t="s">
        <v>68</v>
      </c>
      <c r="AO52" s="69">
        <v>42</v>
      </c>
      <c r="AP52" s="69">
        <v>0</v>
      </c>
      <c r="AQ52" s="69">
        <v>0</v>
      </c>
      <c r="AR52" s="68">
        <v>100</v>
      </c>
      <c r="AS52" s="68">
        <v>494.25</v>
      </c>
      <c r="AT52" s="68">
        <v>0</v>
      </c>
      <c r="AU52" s="69">
        <v>42</v>
      </c>
      <c r="AV52" s="69">
        <v>0</v>
      </c>
      <c r="AW52" s="69">
        <v>0</v>
      </c>
      <c r="AX52" s="68">
        <v>100</v>
      </c>
      <c r="AY52" s="68">
        <v>440.02777777777777</v>
      </c>
      <c r="AZ52" s="68">
        <v>0</v>
      </c>
      <c r="BA52" s="69">
        <v>84</v>
      </c>
      <c r="BB52" s="69">
        <v>0</v>
      </c>
      <c r="BC52" s="69">
        <v>0</v>
      </c>
      <c r="BD52" s="25">
        <v>100</v>
      </c>
      <c r="BE52" s="25">
        <v>467.13888888888891</v>
      </c>
      <c r="BF52" s="37">
        <v>0</v>
      </c>
      <c r="BH52" s="31">
        <v>42</v>
      </c>
      <c r="BI52" s="31">
        <v>0</v>
      </c>
      <c r="BJ52" s="31">
        <v>0</v>
      </c>
      <c r="BK52" s="25">
        <v>100</v>
      </c>
      <c r="BL52" s="25">
        <v>455.66666666666669</v>
      </c>
      <c r="BM52" s="25">
        <v>0</v>
      </c>
      <c r="BN52" s="239">
        <v>42</v>
      </c>
      <c r="BO52" s="239">
        <v>0</v>
      </c>
      <c r="BP52" s="239">
        <v>0</v>
      </c>
      <c r="BQ52" s="25">
        <v>100</v>
      </c>
      <c r="BR52" s="25">
        <v>483</v>
      </c>
      <c r="BS52" s="25">
        <v>0</v>
      </c>
      <c r="BT52" s="33">
        <v>84</v>
      </c>
      <c r="BU52" s="31">
        <v>0</v>
      </c>
      <c r="BV52" s="31">
        <v>0</v>
      </c>
      <c r="BW52" s="72">
        <v>100</v>
      </c>
      <c r="BX52" s="25">
        <v>469.33333333333337</v>
      </c>
      <c r="BY52" s="25">
        <v>0</v>
      </c>
    </row>
    <row r="53" spans="1:78" s="211" customFormat="1" x14ac:dyDescent="0.2">
      <c r="A53" s="2" t="s">
        <v>192</v>
      </c>
      <c r="B53" s="2" t="s">
        <v>68</v>
      </c>
      <c r="C53" s="550">
        <v>42</v>
      </c>
      <c r="D53" s="550">
        <v>0</v>
      </c>
      <c r="E53" s="550">
        <v>0</v>
      </c>
      <c r="F53" s="550">
        <v>100</v>
      </c>
      <c r="G53" s="550">
        <v>416</v>
      </c>
      <c r="H53" s="550" t="s">
        <v>829</v>
      </c>
      <c r="I53" s="550">
        <v>42</v>
      </c>
      <c r="J53" s="550">
        <v>0</v>
      </c>
      <c r="K53" s="550">
        <v>0</v>
      </c>
      <c r="L53" s="550">
        <v>100</v>
      </c>
      <c r="M53" s="550">
        <v>399.91666666666669</v>
      </c>
      <c r="N53" s="550" t="s">
        <v>829</v>
      </c>
      <c r="O53" s="550">
        <v>84</v>
      </c>
      <c r="P53" s="550">
        <v>0</v>
      </c>
      <c r="Q53" s="550">
        <v>0</v>
      </c>
      <c r="R53" s="550">
        <v>100</v>
      </c>
      <c r="S53" s="550">
        <v>407.95833333333337</v>
      </c>
      <c r="T53" s="550">
        <v>0</v>
      </c>
      <c r="U53" s="550"/>
      <c r="V53" s="550">
        <v>42</v>
      </c>
      <c r="W53" s="550">
        <v>0</v>
      </c>
      <c r="X53" s="550">
        <v>0</v>
      </c>
      <c r="Y53" s="550">
        <v>100</v>
      </c>
      <c r="Z53" s="550">
        <v>474.91666666666669</v>
      </c>
      <c r="AA53" s="550" t="s">
        <v>829</v>
      </c>
      <c r="AB53" s="550">
        <v>42</v>
      </c>
      <c r="AC53" s="550">
        <v>0</v>
      </c>
      <c r="AD53" s="550">
        <v>0</v>
      </c>
      <c r="AE53" s="550">
        <v>100</v>
      </c>
      <c r="AF53" s="550">
        <v>443.75</v>
      </c>
      <c r="AG53" s="550" t="s">
        <v>829</v>
      </c>
      <c r="AH53" s="550">
        <v>84</v>
      </c>
      <c r="AI53" s="550">
        <v>0</v>
      </c>
      <c r="AJ53" s="550">
        <v>0</v>
      </c>
      <c r="AK53" s="550">
        <v>100</v>
      </c>
      <c r="AL53" s="550">
        <v>459.33333333333337</v>
      </c>
      <c r="AM53" s="550">
        <v>0</v>
      </c>
      <c r="AN53" s="203" t="s">
        <v>68</v>
      </c>
      <c r="AO53" s="234"/>
      <c r="AP53" s="234"/>
      <c r="AQ53" s="234"/>
      <c r="AR53" s="204"/>
      <c r="AS53" s="204"/>
      <c r="AT53" s="204"/>
      <c r="AU53" s="234"/>
      <c r="AV53" s="234"/>
      <c r="AW53" s="234"/>
      <c r="AX53" s="204"/>
      <c r="AY53" s="204"/>
      <c r="AZ53" s="204"/>
      <c r="BA53" s="234"/>
      <c r="BB53" s="234"/>
      <c r="BC53" s="234"/>
      <c r="BD53" s="204"/>
      <c r="BE53" s="204"/>
      <c r="BF53" s="205"/>
      <c r="BG53" s="206"/>
      <c r="BH53" s="207"/>
      <c r="BI53" s="207"/>
      <c r="BJ53" s="207"/>
      <c r="BK53" s="204"/>
      <c r="BL53" s="204"/>
      <c r="BM53" s="204"/>
      <c r="BN53" s="234"/>
      <c r="BO53" s="234"/>
      <c r="BP53" s="234"/>
      <c r="BQ53" s="204"/>
      <c r="BR53" s="204"/>
      <c r="BS53" s="204"/>
      <c r="BT53" s="208"/>
      <c r="BU53" s="207"/>
      <c r="BV53" s="207"/>
      <c r="BW53" s="209"/>
      <c r="BX53" s="204"/>
      <c r="BY53" s="204"/>
      <c r="BZ53" s="210"/>
    </row>
    <row r="54" spans="1:78" x14ac:dyDescent="0.2">
      <c r="A54" s="2" t="s">
        <v>195</v>
      </c>
      <c r="B54" s="2" t="s">
        <v>67</v>
      </c>
      <c r="C54" s="550">
        <v>42</v>
      </c>
      <c r="D54" s="550">
        <v>0</v>
      </c>
      <c r="E54" s="550">
        <v>0</v>
      </c>
      <c r="F54" s="550">
        <v>100</v>
      </c>
      <c r="G54" s="550">
        <v>355.33333333333331</v>
      </c>
      <c r="H54" s="550" t="s">
        <v>829</v>
      </c>
      <c r="I54" s="550">
        <v>42</v>
      </c>
      <c r="J54" s="550">
        <v>0</v>
      </c>
      <c r="K54" s="550">
        <v>0</v>
      </c>
      <c r="L54" s="550">
        <v>100</v>
      </c>
      <c r="M54" s="550">
        <v>361.33333333333331</v>
      </c>
      <c r="N54" s="550" t="s">
        <v>829</v>
      </c>
      <c r="O54" s="550">
        <v>84</v>
      </c>
      <c r="P54" s="550">
        <v>0</v>
      </c>
      <c r="Q54" s="550">
        <v>0</v>
      </c>
      <c r="R54" s="550">
        <v>100</v>
      </c>
      <c r="S54" s="550">
        <v>358.33333333333331</v>
      </c>
      <c r="T54" s="550">
        <v>0</v>
      </c>
      <c r="V54" s="550">
        <v>42</v>
      </c>
      <c r="W54" s="550">
        <v>0</v>
      </c>
      <c r="X54" s="550">
        <v>0</v>
      </c>
      <c r="Y54" s="550">
        <v>100</v>
      </c>
      <c r="Z54" s="550">
        <v>458.5</v>
      </c>
      <c r="AA54" s="550" t="s">
        <v>829</v>
      </c>
      <c r="AB54" s="550">
        <v>41</v>
      </c>
      <c r="AC54" s="550">
        <v>1</v>
      </c>
      <c r="AD54" s="550">
        <v>0</v>
      </c>
      <c r="AE54" s="550">
        <v>97.619047619047635</v>
      </c>
      <c r="AF54" s="550">
        <v>421.33333333333331</v>
      </c>
      <c r="AG54" s="550">
        <v>284</v>
      </c>
      <c r="AH54" s="550">
        <v>83</v>
      </c>
      <c r="AI54" s="550">
        <v>1</v>
      </c>
      <c r="AJ54" s="550">
        <v>0</v>
      </c>
      <c r="AK54" s="550">
        <v>98.809523809523824</v>
      </c>
      <c r="AL54" s="550">
        <v>439.91666666666663</v>
      </c>
      <c r="AM54" s="550">
        <v>284</v>
      </c>
      <c r="AN54" s="2" t="s">
        <v>67</v>
      </c>
      <c r="AO54" s="69">
        <v>42</v>
      </c>
      <c r="AP54" s="69">
        <v>0</v>
      </c>
      <c r="AQ54" s="69">
        <v>0</v>
      </c>
      <c r="AR54" s="68">
        <v>100</v>
      </c>
      <c r="AS54" s="68">
        <v>417.25</v>
      </c>
      <c r="AT54" s="68">
        <v>0</v>
      </c>
      <c r="AU54" s="69">
        <v>42</v>
      </c>
      <c r="AV54" s="69">
        <v>0</v>
      </c>
      <c r="AW54" s="69">
        <v>0</v>
      </c>
      <c r="AX54" s="68">
        <v>100</v>
      </c>
      <c r="AY54" s="68">
        <v>422.75</v>
      </c>
      <c r="AZ54" s="68">
        <v>0</v>
      </c>
      <c r="BA54" s="69">
        <v>84</v>
      </c>
      <c r="BB54" s="69">
        <v>0</v>
      </c>
      <c r="BC54" s="69">
        <v>0</v>
      </c>
      <c r="BD54" s="25">
        <v>100</v>
      </c>
      <c r="BE54" s="25">
        <v>420</v>
      </c>
      <c r="BF54" s="37">
        <v>0</v>
      </c>
      <c r="BH54" s="31">
        <v>41</v>
      </c>
      <c r="BI54" s="31">
        <v>1</v>
      </c>
      <c r="BJ54" s="31">
        <v>0</v>
      </c>
      <c r="BK54" s="25">
        <v>97.619047619047635</v>
      </c>
      <c r="BL54" s="25">
        <v>659.83333333333337</v>
      </c>
      <c r="BM54" s="25">
        <v>1093</v>
      </c>
      <c r="BN54" s="239">
        <v>42</v>
      </c>
      <c r="BO54" s="239">
        <v>0</v>
      </c>
      <c r="BP54" s="239">
        <v>0</v>
      </c>
      <c r="BQ54" s="25">
        <v>100</v>
      </c>
      <c r="BR54" s="25">
        <v>571.66666666666663</v>
      </c>
      <c r="BS54" s="25">
        <v>0</v>
      </c>
      <c r="BT54" s="33">
        <v>83</v>
      </c>
      <c r="BU54" s="31">
        <v>1</v>
      </c>
      <c r="BV54" s="31">
        <v>0</v>
      </c>
      <c r="BW54" s="72">
        <v>98.809523809523824</v>
      </c>
      <c r="BX54" s="25">
        <v>615.75</v>
      </c>
      <c r="BY54" s="25">
        <v>1093</v>
      </c>
    </row>
    <row r="55" spans="1:78" x14ac:dyDescent="0.2">
      <c r="A55" s="2" t="s">
        <v>211</v>
      </c>
      <c r="B55" s="2" t="s">
        <v>67</v>
      </c>
      <c r="C55" s="550">
        <v>42</v>
      </c>
      <c r="D55" s="550">
        <v>0</v>
      </c>
      <c r="E55" s="550">
        <v>0</v>
      </c>
      <c r="F55" s="550">
        <v>100</v>
      </c>
      <c r="G55" s="550">
        <v>426.75</v>
      </c>
      <c r="H55" s="550" t="s">
        <v>829</v>
      </c>
      <c r="I55" s="550">
        <v>42</v>
      </c>
      <c r="J55" s="550">
        <v>0</v>
      </c>
      <c r="K55" s="550">
        <v>0</v>
      </c>
      <c r="L55" s="550">
        <v>100</v>
      </c>
      <c r="M55" s="550">
        <v>452.75</v>
      </c>
      <c r="N55" s="550" t="s">
        <v>829</v>
      </c>
      <c r="O55" s="550">
        <v>84</v>
      </c>
      <c r="P55" s="550">
        <v>0</v>
      </c>
      <c r="Q55" s="550">
        <v>0</v>
      </c>
      <c r="R55" s="550">
        <v>100</v>
      </c>
      <c r="S55" s="550">
        <v>439.75</v>
      </c>
      <c r="T55" s="550">
        <v>0</v>
      </c>
      <c r="V55" s="550">
        <v>42</v>
      </c>
      <c r="W55" s="550">
        <v>0</v>
      </c>
      <c r="X55" s="550">
        <v>0</v>
      </c>
      <c r="Y55" s="550">
        <v>100</v>
      </c>
      <c r="Z55" s="550">
        <v>557</v>
      </c>
      <c r="AA55" s="550" t="s">
        <v>829</v>
      </c>
      <c r="AB55" s="550">
        <v>40</v>
      </c>
      <c r="AC55" s="550">
        <v>0</v>
      </c>
      <c r="AD55" s="550">
        <v>2</v>
      </c>
      <c r="AE55" s="550">
        <v>95.238095238095241</v>
      </c>
      <c r="AF55" s="550">
        <v>674.52777777777783</v>
      </c>
      <c r="AG55" s="550" t="s">
        <v>829</v>
      </c>
      <c r="AH55" s="550">
        <v>82</v>
      </c>
      <c r="AI55" s="550">
        <v>0</v>
      </c>
      <c r="AJ55" s="550">
        <v>2</v>
      </c>
      <c r="AK55" s="550">
        <v>97.61904761904762</v>
      </c>
      <c r="AL55" s="550">
        <v>615.76388888888891</v>
      </c>
      <c r="AM55" s="550" t="s">
        <v>829</v>
      </c>
      <c r="AN55" s="2" t="s">
        <v>67</v>
      </c>
      <c r="AO55" s="69">
        <v>42</v>
      </c>
      <c r="AP55" s="69">
        <v>0</v>
      </c>
      <c r="AQ55" s="69">
        <v>0</v>
      </c>
      <c r="AR55" s="68">
        <v>100</v>
      </c>
      <c r="AS55" s="68">
        <v>411.91666666666669</v>
      </c>
      <c r="AT55" s="68">
        <v>0</v>
      </c>
      <c r="AU55" s="69">
        <v>42</v>
      </c>
      <c r="AV55" s="69">
        <v>0</v>
      </c>
      <c r="AW55" s="69">
        <v>0</v>
      </c>
      <c r="AX55" s="68">
        <v>100</v>
      </c>
      <c r="AY55" s="68">
        <v>452</v>
      </c>
      <c r="AZ55" s="68">
        <v>0</v>
      </c>
      <c r="BA55" s="69">
        <v>84</v>
      </c>
      <c r="BB55" s="69">
        <v>0</v>
      </c>
      <c r="BC55" s="69">
        <v>0</v>
      </c>
      <c r="BD55" s="25">
        <v>100</v>
      </c>
      <c r="BE55" s="25">
        <v>431.95833333333337</v>
      </c>
      <c r="BF55" s="37">
        <v>0</v>
      </c>
      <c r="BH55" s="31">
        <v>42</v>
      </c>
      <c r="BI55" s="31">
        <v>0</v>
      </c>
      <c r="BJ55" s="31">
        <v>0</v>
      </c>
      <c r="BK55" s="25">
        <v>100</v>
      </c>
      <c r="BL55" s="25">
        <v>482.08333333333331</v>
      </c>
      <c r="BM55" s="25">
        <v>0</v>
      </c>
      <c r="BN55" s="239">
        <v>42</v>
      </c>
      <c r="BO55" s="239">
        <v>0</v>
      </c>
      <c r="BP55" s="239">
        <v>0</v>
      </c>
      <c r="BQ55" s="25">
        <v>100</v>
      </c>
      <c r="BR55" s="25">
        <v>553.75</v>
      </c>
      <c r="BS55" s="25">
        <v>0</v>
      </c>
      <c r="BT55" s="33">
        <v>84</v>
      </c>
      <c r="BU55" s="31">
        <v>0</v>
      </c>
      <c r="BV55" s="31">
        <v>0</v>
      </c>
      <c r="BW55" s="72">
        <v>100</v>
      </c>
      <c r="BX55" s="25">
        <v>517.91666666666663</v>
      </c>
      <c r="BY55" s="25">
        <v>0</v>
      </c>
    </row>
    <row r="56" spans="1:78" x14ac:dyDescent="0.2">
      <c r="A56" s="2" t="s">
        <v>215</v>
      </c>
      <c r="B56" s="2" t="s">
        <v>68</v>
      </c>
      <c r="C56" s="550">
        <v>42</v>
      </c>
      <c r="D56" s="550">
        <v>0</v>
      </c>
      <c r="E56" s="550">
        <v>0</v>
      </c>
      <c r="F56" s="550">
        <v>100</v>
      </c>
      <c r="G56" s="550">
        <v>479.25</v>
      </c>
      <c r="H56" s="550" t="s">
        <v>829</v>
      </c>
      <c r="I56" s="550">
        <v>41</v>
      </c>
      <c r="J56" s="550">
        <v>1</v>
      </c>
      <c r="K56" s="550">
        <v>0</v>
      </c>
      <c r="L56" s="550">
        <v>97.619047619047635</v>
      </c>
      <c r="M56" s="550">
        <v>552.25</v>
      </c>
      <c r="N56" s="550">
        <v>363</v>
      </c>
      <c r="O56" s="550">
        <v>83</v>
      </c>
      <c r="P56" s="550">
        <v>1</v>
      </c>
      <c r="Q56" s="550">
        <v>0</v>
      </c>
      <c r="R56" s="550">
        <v>98.809523809523824</v>
      </c>
      <c r="S56" s="550">
        <v>515.75</v>
      </c>
      <c r="T56" s="550">
        <v>363</v>
      </c>
      <c r="V56" s="550">
        <v>40</v>
      </c>
      <c r="W56" s="550">
        <v>0</v>
      </c>
      <c r="X56" s="550">
        <v>2</v>
      </c>
      <c r="Y56" s="550">
        <v>95.238095238095241</v>
      </c>
      <c r="Z56" s="550">
        <v>542.94444444444446</v>
      </c>
      <c r="AA56" s="550" t="s">
        <v>829</v>
      </c>
      <c r="AB56" s="550">
        <v>42</v>
      </c>
      <c r="AC56" s="550">
        <v>0</v>
      </c>
      <c r="AD56" s="550">
        <v>0</v>
      </c>
      <c r="AE56" s="550">
        <v>100</v>
      </c>
      <c r="AF56" s="550">
        <v>520</v>
      </c>
      <c r="AG56" s="550" t="s">
        <v>829</v>
      </c>
      <c r="AH56" s="550">
        <v>82</v>
      </c>
      <c r="AI56" s="550">
        <v>0</v>
      </c>
      <c r="AJ56" s="550">
        <v>2</v>
      </c>
      <c r="AK56" s="550">
        <v>97.61904761904762</v>
      </c>
      <c r="AL56" s="550">
        <v>531.47222222222217</v>
      </c>
      <c r="AM56" s="550">
        <v>0</v>
      </c>
      <c r="AN56" s="2" t="s">
        <v>68</v>
      </c>
      <c r="AO56" s="69">
        <v>42</v>
      </c>
      <c r="AP56" s="69">
        <v>0</v>
      </c>
      <c r="AQ56" s="69">
        <v>0</v>
      </c>
      <c r="AR56" s="68">
        <v>100</v>
      </c>
      <c r="AS56" s="68">
        <v>467</v>
      </c>
      <c r="AT56" s="68">
        <v>0</v>
      </c>
      <c r="AU56" s="69">
        <v>42</v>
      </c>
      <c r="AV56" s="69">
        <v>0</v>
      </c>
      <c r="AW56" s="69">
        <v>0</v>
      </c>
      <c r="AX56" s="68">
        <v>100</v>
      </c>
      <c r="AY56" s="68">
        <v>501.41666666666669</v>
      </c>
      <c r="AZ56" s="68">
        <v>0</v>
      </c>
      <c r="BA56" s="69">
        <v>84</v>
      </c>
      <c r="BB56" s="69">
        <v>0</v>
      </c>
      <c r="BC56" s="69">
        <v>0</v>
      </c>
      <c r="BD56" s="25">
        <v>100</v>
      </c>
      <c r="BE56" s="25">
        <v>484.20833333333337</v>
      </c>
      <c r="BF56" s="37">
        <v>0</v>
      </c>
      <c r="BH56" s="31">
        <v>40</v>
      </c>
      <c r="BI56" s="31">
        <v>0</v>
      </c>
      <c r="BJ56" s="31">
        <v>2</v>
      </c>
      <c r="BK56" s="25">
        <v>95.238095238095241</v>
      </c>
      <c r="BL56" s="25">
        <v>470.25</v>
      </c>
      <c r="BM56" s="25">
        <v>0</v>
      </c>
      <c r="BN56" s="239">
        <v>42</v>
      </c>
      <c r="BO56" s="239">
        <v>0</v>
      </c>
      <c r="BP56" s="239">
        <v>0</v>
      </c>
      <c r="BQ56" s="25">
        <v>100</v>
      </c>
      <c r="BR56" s="25">
        <v>469.58333333333331</v>
      </c>
      <c r="BS56" s="25">
        <v>0</v>
      </c>
      <c r="BT56" s="33">
        <v>82</v>
      </c>
      <c r="BU56" s="31">
        <v>0</v>
      </c>
      <c r="BV56" s="31">
        <v>2</v>
      </c>
      <c r="BW56" s="72">
        <v>97.61904761904762</v>
      </c>
      <c r="BX56" s="25">
        <v>469.91666666666663</v>
      </c>
      <c r="BY56" s="25">
        <v>0</v>
      </c>
    </row>
    <row r="57" spans="1:78" x14ac:dyDescent="0.2">
      <c r="A57" s="2" t="s">
        <v>218</v>
      </c>
      <c r="AN57" s="2" t="s">
        <v>68</v>
      </c>
      <c r="AO57" s="69">
        <v>42</v>
      </c>
      <c r="AP57" s="69">
        <v>0</v>
      </c>
      <c r="AQ57" s="69">
        <v>0</v>
      </c>
      <c r="AR57" s="68">
        <v>100</v>
      </c>
      <c r="AS57" s="68">
        <v>452.5</v>
      </c>
      <c r="AT57" s="68">
        <v>0</v>
      </c>
      <c r="AU57" s="69">
        <v>42</v>
      </c>
      <c r="AV57" s="69">
        <v>0</v>
      </c>
      <c r="AW57" s="69">
        <v>0</v>
      </c>
      <c r="AX57" s="68">
        <v>100</v>
      </c>
      <c r="AY57" s="68">
        <v>432.25</v>
      </c>
      <c r="AZ57" s="68">
        <v>0</v>
      </c>
      <c r="BA57" s="69">
        <v>84</v>
      </c>
      <c r="BB57" s="69">
        <v>0</v>
      </c>
      <c r="BC57" s="69">
        <v>0</v>
      </c>
      <c r="BD57" s="68">
        <v>100</v>
      </c>
      <c r="BE57" s="68">
        <v>442.375</v>
      </c>
      <c r="BF57" s="68">
        <v>0</v>
      </c>
      <c r="BH57" s="31">
        <v>40</v>
      </c>
      <c r="BI57" s="31">
        <v>0</v>
      </c>
      <c r="BJ57" s="31">
        <v>2</v>
      </c>
      <c r="BK57" s="25">
        <v>95.238095238095241</v>
      </c>
      <c r="BL57" s="25">
        <v>435.6944444444444</v>
      </c>
      <c r="BM57" s="25">
        <v>0</v>
      </c>
      <c r="BN57" s="239">
        <v>42</v>
      </c>
      <c r="BO57" s="239">
        <v>0</v>
      </c>
      <c r="BP57" s="239">
        <v>0</v>
      </c>
      <c r="BQ57" s="25">
        <v>100</v>
      </c>
      <c r="BR57" s="25">
        <v>462.5</v>
      </c>
      <c r="BS57" s="25">
        <v>0</v>
      </c>
      <c r="BT57" s="33">
        <v>82</v>
      </c>
      <c r="BU57" s="31">
        <v>0</v>
      </c>
      <c r="BV57" s="31">
        <v>2</v>
      </c>
      <c r="BW57" s="72">
        <v>97.61904761904762</v>
      </c>
      <c r="BX57" s="25">
        <v>449.09722222222217</v>
      </c>
      <c r="BY57" s="25">
        <v>0</v>
      </c>
    </row>
    <row r="58" spans="1:78" x14ac:dyDescent="0.2">
      <c r="A58" s="2" t="s">
        <v>238</v>
      </c>
      <c r="AN58" s="2" t="s">
        <v>67</v>
      </c>
      <c r="AO58" s="69">
        <v>41</v>
      </c>
      <c r="AP58" s="69">
        <v>1</v>
      </c>
      <c r="AQ58" s="69">
        <v>0</v>
      </c>
      <c r="AR58" s="68">
        <v>97.619047619047635</v>
      </c>
      <c r="AS58" s="68">
        <v>399.91666666666669</v>
      </c>
      <c r="AT58" s="68">
        <v>409</v>
      </c>
      <c r="AU58" s="69">
        <v>42</v>
      </c>
      <c r="AV58" s="69">
        <v>0</v>
      </c>
      <c r="AW58" s="69">
        <v>0</v>
      </c>
      <c r="AX58" s="68">
        <v>100</v>
      </c>
      <c r="AY58" s="68">
        <v>471.08333333333331</v>
      </c>
      <c r="AZ58" s="68">
        <v>0</v>
      </c>
      <c r="BA58" s="69">
        <v>83</v>
      </c>
      <c r="BB58" s="69">
        <v>1</v>
      </c>
      <c r="BC58" s="69">
        <v>0</v>
      </c>
      <c r="BD58" s="68">
        <v>98.809523809523824</v>
      </c>
      <c r="BE58" s="68">
        <v>435.5</v>
      </c>
      <c r="BF58" s="68">
        <v>409</v>
      </c>
      <c r="BH58" s="31">
        <v>42</v>
      </c>
      <c r="BI58" s="31">
        <v>0</v>
      </c>
      <c r="BJ58" s="31">
        <v>0</v>
      </c>
      <c r="BK58" s="25">
        <v>100</v>
      </c>
      <c r="BL58" s="25">
        <v>445</v>
      </c>
      <c r="BM58" s="25">
        <v>0</v>
      </c>
      <c r="BN58" s="239">
        <v>42</v>
      </c>
      <c r="BO58" s="239">
        <v>0</v>
      </c>
      <c r="BP58" s="239">
        <v>0</v>
      </c>
      <c r="BQ58" s="25">
        <v>100</v>
      </c>
      <c r="BR58" s="25">
        <v>354.5</v>
      </c>
      <c r="BS58" s="25">
        <v>0</v>
      </c>
      <c r="BT58" s="33">
        <v>84</v>
      </c>
      <c r="BU58" s="31">
        <v>0</v>
      </c>
      <c r="BV58" s="31">
        <v>0</v>
      </c>
      <c r="BW58" s="72">
        <v>100</v>
      </c>
      <c r="BX58" s="25">
        <v>399.75</v>
      </c>
      <c r="BY58" s="25">
        <v>0</v>
      </c>
    </row>
    <row r="59" spans="1:78" x14ac:dyDescent="0.2">
      <c r="A59" s="2" t="s">
        <v>242</v>
      </c>
      <c r="B59" s="2" t="s">
        <v>67</v>
      </c>
      <c r="C59" s="550">
        <v>40</v>
      </c>
      <c r="D59" s="550">
        <v>1</v>
      </c>
      <c r="E59" s="550">
        <v>1</v>
      </c>
      <c r="F59" s="550">
        <v>95.238095238095241</v>
      </c>
      <c r="G59" s="550">
        <v>487.75</v>
      </c>
      <c r="H59" s="550">
        <v>339</v>
      </c>
      <c r="I59" s="550">
        <v>42</v>
      </c>
      <c r="J59" s="550">
        <v>0</v>
      </c>
      <c r="K59" s="550">
        <v>0</v>
      </c>
      <c r="L59" s="550">
        <v>100</v>
      </c>
      <c r="M59" s="550">
        <v>516.25</v>
      </c>
      <c r="N59" s="550" t="s">
        <v>829</v>
      </c>
      <c r="O59" s="550">
        <v>82</v>
      </c>
      <c r="P59" s="550">
        <v>1</v>
      </c>
      <c r="Q59" s="550">
        <v>1</v>
      </c>
      <c r="R59" s="550">
        <v>97.61904761904762</v>
      </c>
      <c r="S59" s="550">
        <v>502</v>
      </c>
      <c r="T59" s="550">
        <v>339</v>
      </c>
      <c r="V59" s="550">
        <v>42</v>
      </c>
      <c r="W59" s="550">
        <v>0</v>
      </c>
      <c r="X59" s="550">
        <v>0</v>
      </c>
      <c r="Y59" s="550">
        <v>100</v>
      </c>
      <c r="Z59" s="550">
        <v>418.5</v>
      </c>
      <c r="AA59" s="550" t="s">
        <v>829</v>
      </c>
      <c r="AB59" s="550">
        <v>42</v>
      </c>
      <c r="AC59" s="550">
        <v>0</v>
      </c>
      <c r="AD59" s="550">
        <v>0</v>
      </c>
      <c r="AE59" s="550">
        <v>100</v>
      </c>
      <c r="AF59" s="550">
        <v>671.91666666666663</v>
      </c>
      <c r="AG59" s="550" t="s">
        <v>829</v>
      </c>
      <c r="AH59" s="550">
        <v>84</v>
      </c>
      <c r="AI59" s="550">
        <v>0</v>
      </c>
      <c r="AJ59" s="550">
        <v>0</v>
      </c>
      <c r="AK59" s="550">
        <v>100</v>
      </c>
      <c r="AL59" s="550">
        <v>545.20833333333326</v>
      </c>
      <c r="AM59" s="550">
        <v>0</v>
      </c>
      <c r="AN59" s="2" t="s">
        <v>67</v>
      </c>
      <c r="AO59" s="69">
        <v>42</v>
      </c>
      <c r="AP59" s="69">
        <v>0</v>
      </c>
      <c r="AQ59" s="69">
        <v>0</v>
      </c>
      <c r="AR59" s="68">
        <v>100</v>
      </c>
      <c r="AS59" s="68">
        <v>442.41666666666669</v>
      </c>
      <c r="AT59" s="68">
        <v>0</v>
      </c>
      <c r="AU59" s="69">
        <v>42</v>
      </c>
      <c r="AV59" s="69">
        <v>0</v>
      </c>
      <c r="AW59" s="69">
        <v>0</v>
      </c>
      <c r="AX59" s="68">
        <v>100</v>
      </c>
      <c r="AY59" s="68">
        <v>481.25</v>
      </c>
      <c r="AZ59" s="68">
        <v>0</v>
      </c>
      <c r="BA59" s="69">
        <v>84</v>
      </c>
      <c r="BB59" s="69">
        <v>0</v>
      </c>
      <c r="BC59" s="69">
        <v>0</v>
      </c>
      <c r="BD59" s="68">
        <v>100</v>
      </c>
      <c r="BE59" s="68">
        <v>461.83333333333337</v>
      </c>
      <c r="BF59" s="68">
        <v>0</v>
      </c>
      <c r="BH59" s="31">
        <v>42</v>
      </c>
      <c r="BI59" s="31">
        <v>0</v>
      </c>
      <c r="BJ59" s="31">
        <v>0</v>
      </c>
      <c r="BK59" s="25">
        <v>100</v>
      </c>
      <c r="BL59" s="25">
        <v>456</v>
      </c>
      <c r="BM59" s="25">
        <v>0</v>
      </c>
      <c r="BN59" s="239">
        <v>42</v>
      </c>
      <c r="BO59" s="239">
        <v>0</v>
      </c>
      <c r="BP59" s="239">
        <v>0</v>
      </c>
      <c r="BQ59" s="25">
        <v>100</v>
      </c>
      <c r="BR59" s="25">
        <v>386.66666666666669</v>
      </c>
      <c r="BS59" s="25">
        <v>0</v>
      </c>
      <c r="BT59" s="33">
        <v>84</v>
      </c>
      <c r="BU59" s="31">
        <v>0</v>
      </c>
      <c r="BV59" s="31">
        <v>0</v>
      </c>
      <c r="BW59" s="72">
        <v>100</v>
      </c>
      <c r="BX59" s="25">
        <v>421.33333333333337</v>
      </c>
      <c r="BY59" s="25">
        <v>0</v>
      </c>
    </row>
    <row r="60" spans="1:78" x14ac:dyDescent="0.2">
      <c r="A60" s="2" t="s">
        <v>249</v>
      </c>
      <c r="B60" s="2" t="s">
        <v>68</v>
      </c>
      <c r="C60" s="550">
        <v>42</v>
      </c>
      <c r="D60" s="550">
        <v>0</v>
      </c>
      <c r="E60" s="550">
        <v>0</v>
      </c>
      <c r="F60" s="550">
        <v>100</v>
      </c>
      <c r="G60" s="550">
        <v>482.91666666666669</v>
      </c>
      <c r="H60" s="550" t="s">
        <v>829</v>
      </c>
      <c r="I60" s="550">
        <v>42</v>
      </c>
      <c r="J60" s="550">
        <v>0</v>
      </c>
      <c r="K60" s="550">
        <v>0</v>
      </c>
      <c r="L60" s="550">
        <v>100</v>
      </c>
      <c r="M60" s="550">
        <v>491.41666666666669</v>
      </c>
      <c r="N60" s="550" t="s">
        <v>829</v>
      </c>
      <c r="O60" s="550">
        <v>84</v>
      </c>
      <c r="P60" s="550">
        <v>0</v>
      </c>
      <c r="Q60" s="550">
        <v>0</v>
      </c>
      <c r="R60" s="550">
        <v>100</v>
      </c>
      <c r="S60" s="550">
        <v>487.16666666666669</v>
      </c>
      <c r="T60" s="550">
        <v>0</v>
      </c>
      <c r="V60" s="550">
        <v>41</v>
      </c>
      <c r="W60" s="550">
        <v>0</v>
      </c>
      <c r="X60" s="550">
        <v>1</v>
      </c>
      <c r="Y60" s="550">
        <v>97.619047619047635</v>
      </c>
      <c r="Z60" s="550">
        <v>508.33333333333331</v>
      </c>
      <c r="AA60" s="550" t="s">
        <v>829</v>
      </c>
      <c r="AB60" s="550">
        <v>40</v>
      </c>
      <c r="AC60" s="550">
        <v>1</v>
      </c>
      <c r="AD60" s="550">
        <v>1</v>
      </c>
      <c r="AE60" s="550">
        <v>95.238095238095241</v>
      </c>
      <c r="AF60" s="550">
        <v>507.0555555555556</v>
      </c>
      <c r="AG60" s="550">
        <v>424</v>
      </c>
      <c r="AH60" s="550">
        <v>81</v>
      </c>
      <c r="AI60" s="550">
        <v>1</v>
      </c>
      <c r="AJ60" s="550">
        <v>2</v>
      </c>
      <c r="AK60" s="550">
        <v>96.428571428571445</v>
      </c>
      <c r="AL60" s="550">
        <v>507.69444444444446</v>
      </c>
      <c r="AM60" s="550">
        <v>424</v>
      </c>
      <c r="AN60" s="2" t="s">
        <v>68</v>
      </c>
      <c r="AO60" s="69">
        <v>42</v>
      </c>
      <c r="AP60" s="69">
        <v>0</v>
      </c>
      <c r="AQ60" s="69">
        <v>0</v>
      </c>
      <c r="AR60" s="68">
        <v>100</v>
      </c>
      <c r="AS60" s="68">
        <v>454.08333333333331</v>
      </c>
      <c r="AT60" s="68">
        <v>0</v>
      </c>
      <c r="AU60" s="69">
        <v>42</v>
      </c>
      <c r="AV60" s="69">
        <v>0</v>
      </c>
      <c r="AW60" s="69">
        <v>0</v>
      </c>
      <c r="AX60" s="68">
        <v>100</v>
      </c>
      <c r="AY60" s="68">
        <v>600.5</v>
      </c>
      <c r="AZ60" s="68">
        <v>0</v>
      </c>
      <c r="BA60" s="69">
        <v>84</v>
      </c>
      <c r="BB60" s="69">
        <v>0</v>
      </c>
      <c r="BC60" s="69">
        <v>0</v>
      </c>
      <c r="BD60" s="68">
        <v>100</v>
      </c>
      <c r="BE60" s="68">
        <v>527.29166666666663</v>
      </c>
      <c r="BF60" s="68">
        <v>0</v>
      </c>
      <c r="BH60" s="31">
        <v>42</v>
      </c>
      <c r="BI60" s="31">
        <v>0</v>
      </c>
      <c r="BJ60" s="31">
        <v>0</v>
      </c>
      <c r="BK60" s="25">
        <v>100</v>
      </c>
      <c r="BL60" s="25">
        <v>595</v>
      </c>
      <c r="BM60" s="25">
        <v>0</v>
      </c>
      <c r="BN60" s="239">
        <v>42</v>
      </c>
      <c r="BO60" s="239">
        <v>0</v>
      </c>
      <c r="BP60" s="239">
        <v>0</v>
      </c>
      <c r="BQ60" s="25">
        <v>100</v>
      </c>
      <c r="BR60" s="25">
        <v>492.91666666666669</v>
      </c>
      <c r="BS60" s="25">
        <v>0</v>
      </c>
      <c r="BT60" s="33">
        <v>84</v>
      </c>
      <c r="BU60" s="31">
        <v>0</v>
      </c>
      <c r="BV60" s="31">
        <v>0</v>
      </c>
      <c r="BW60" s="72">
        <v>100</v>
      </c>
      <c r="BX60" s="25">
        <v>543.95833333333337</v>
      </c>
      <c r="BY60" s="25">
        <v>0</v>
      </c>
    </row>
    <row r="61" spans="1:78" x14ac:dyDescent="0.2">
      <c r="A61" s="2" t="s">
        <v>252</v>
      </c>
      <c r="B61" s="2" t="s">
        <v>68</v>
      </c>
      <c r="C61" s="550">
        <v>42</v>
      </c>
      <c r="D61" s="550">
        <v>0</v>
      </c>
      <c r="E61" s="550">
        <v>0</v>
      </c>
      <c r="F61" s="550">
        <v>100</v>
      </c>
      <c r="G61" s="550">
        <v>476.5</v>
      </c>
      <c r="H61" s="550" t="s">
        <v>829</v>
      </c>
      <c r="I61" s="550">
        <v>41</v>
      </c>
      <c r="J61" s="550">
        <v>1</v>
      </c>
      <c r="K61" s="550">
        <v>0</v>
      </c>
      <c r="L61" s="550">
        <v>97.619047619047635</v>
      </c>
      <c r="M61" s="550">
        <v>427</v>
      </c>
      <c r="N61" s="550">
        <v>315</v>
      </c>
      <c r="O61" s="550">
        <v>83</v>
      </c>
      <c r="P61" s="550">
        <v>1</v>
      </c>
      <c r="Q61" s="550">
        <v>0</v>
      </c>
      <c r="R61" s="550">
        <v>98.809523809523824</v>
      </c>
      <c r="S61" s="550">
        <v>451.75</v>
      </c>
      <c r="T61" s="550">
        <v>315</v>
      </c>
      <c r="V61" s="550">
        <v>42</v>
      </c>
      <c r="W61" s="550">
        <v>0</v>
      </c>
      <c r="X61" s="550">
        <v>0</v>
      </c>
      <c r="Y61" s="550">
        <v>100</v>
      </c>
      <c r="Z61" s="550">
        <v>579.25</v>
      </c>
      <c r="AA61" s="550" t="s">
        <v>829</v>
      </c>
      <c r="AB61" s="550">
        <v>41</v>
      </c>
      <c r="AC61" s="550">
        <v>1</v>
      </c>
      <c r="AD61" s="550">
        <v>0</v>
      </c>
      <c r="AE61" s="550">
        <v>97.619047619047635</v>
      </c>
      <c r="AF61" s="550">
        <v>552</v>
      </c>
      <c r="AG61" s="550">
        <v>819</v>
      </c>
      <c r="AH61" s="550">
        <v>83</v>
      </c>
      <c r="AI61" s="550">
        <v>1</v>
      </c>
      <c r="AJ61" s="550">
        <v>0</v>
      </c>
      <c r="AK61" s="550">
        <v>98.809523809523824</v>
      </c>
      <c r="AL61" s="550">
        <v>565.625</v>
      </c>
      <c r="AM61" s="550">
        <v>819</v>
      </c>
      <c r="AN61" s="2" t="s">
        <v>68</v>
      </c>
      <c r="AO61" s="69">
        <v>42</v>
      </c>
      <c r="AP61" s="69">
        <v>0</v>
      </c>
      <c r="AQ61" s="69">
        <v>0</v>
      </c>
      <c r="AR61" s="68">
        <v>100</v>
      </c>
      <c r="AS61" s="68">
        <v>470.5</v>
      </c>
      <c r="AT61" s="68">
        <v>0</v>
      </c>
      <c r="AU61" s="69">
        <v>41</v>
      </c>
      <c r="AV61" s="69">
        <v>1</v>
      </c>
      <c r="AW61" s="69">
        <v>0</v>
      </c>
      <c r="AX61" s="68">
        <v>97.619047619047635</v>
      </c>
      <c r="AY61" s="68">
        <v>396.33333333333331</v>
      </c>
      <c r="AZ61" s="68">
        <v>362</v>
      </c>
      <c r="BA61" s="69">
        <v>83</v>
      </c>
      <c r="BB61" s="69">
        <v>1</v>
      </c>
      <c r="BC61" s="69">
        <v>0</v>
      </c>
      <c r="BD61" s="68">
        <v>98.809523809523824</v>
      </c>
      <c r="BE61" s="68">
        <v>433.41666666666663</v>
      </c>
      <c r="BF61" s="68">
        <v>362</v>
      </c>
      <c r="BH61" s="31">
        <v>40</v>
      </c>
      <c r="BI61" s="31">
        <v>0</v>
      </c>
      <c r="BJ61" s="31">
        <v>2</v>
      </c>
      <c r="BK61" s="25">
        <v>95.238095238095241</v>
      </c>
      <c r="BL61" s="25">
        <v>498.86111111111114</v>
      </c>
      <c r="BM61" s="25">
        <v>0</v>
      </c>
      <c r="BN61" s="239">
        <v>42</v>
      </c>
      <c r="BO61" s="239">
        <v>0</v>
      </c>
      <c r="BP61" s="239">
        <v>0</v>
      </c>
      <c r="BQ61" s="25">
        <v>100</v>
      </c>
      <c r="BR61" s="25">
        <v>488.41666666666669</v>
      </c>
      <c r="BS61" s="25">
        <v>0</v>
      </c>
      <c r="BT61" s="33">
        <v>82</v>
      </c>
      <c r="BU61" s="31">
        <v>0</v>
      </c>
      <c r="BV61" s="31">
        <v>2</v>
      </c>
      <c r="BW61" s="72">
        <v>97.61904761904762</v>
      </c>
      <c r="BX61" s="25">
        <v>493.63888888888891</v>
      </c>
      <c r="BY61" s="25">
        <v>0</v>
      </c>
    </row>
    <row r="62" spans="1:78" x14ac:dyDescent="0.2">
      <c r="A62" s="2" t="s">
        <v>260</v>
      </c>
      <c r="B62" s="2" t="s">
        <v>67</v>
      </c>
      <c r="C62" s="550">
        <v>42</v>
      </c>
      <c r="D62" s="550">
        <v>0</v>
      </c>
      <c r="E62" s="550">
        <v>0</v>
      </c>
      <c r="F62" s="550">
        <v>100</v>
      </c>
      <c r="G62" s="550">
        <v>342.41666666666669</v>
      </c>
      <c r="H62" s="550" t="s">
        <v>829</v>
      </c>
      <c r="I62" s="550">
        <v>41</v>
      </c>
      <c r="J62" s="550">
        <v>1</v>
      </c>
      <c r="K62" s="550">
        <v>0</v>
      </c>
      <c r="L62" s="550">
        <v>97.619047619047635</v>
      </c>
      <c r="M62" s="550">
        <v>361.08333333333331</v>
      </c>
      <c r="N62" s="550">
        <v>534</v>
      </c>
      <c r="O62" s="550">
        <v>83</v>
      </c>
      <c r="P62" s="550">
        <v>1</v>
      </c>
      <c r="Q62" s="550">
        <v>0</v>
      </c>
      <c r="R62" s="550">
        <v>98.809523809523824</v>
      </c>
      <c r="S62" s="550">
        <v>351.75</v>
      </c>
      <c r="T62" s="550">
        <v>534</v>
      </c>
      <c r="V62" s="550">
        <v>42</v>
      </c>
      <c r="W62" s="550">
        <v>0</v>
      </c>
      <c r="X62" s="550">
        <v>0</v>
      </c>
      <c r="Y62" s="550">
        <v>100</v>
      </c>
      <c r="Z62" s="550">
        <v>390.58333333333331</v>
      </c>
      <c r="AA62" s="550" t="s">
        <v>829</v>
      </c>
      <c r="AB62" s="550">
        <v>42</v>
      </c>
      <c r="AC62" s="550">
        <v>0</v>
      </c>
      <c r="AD62" s="550">
        <v>0</v>
      </c>
      <c r="AE62" s="550">
        <v>100</v>
      </c>
      <c r="AF62" s="550">
        <v>446.08333333333331</v>
      </c>
      <c r="AG62" s="550" t="s">
        <v>829</v>
      </c>
      <c r="AH62" s="550">
        <v>84</v>
      </c>
      <c r="AI62" s="550">
        <v>0</v>
      </c>
      <c r="AJ62" s="550">
        <v>0</v>
      </c>
      <c r="AK62" s="550">
        <v>100</v>
      </c>
      <c r="AL62" s="550">
        <v>495.125</v>
      </c>
      <c r="AM62" s="550">
        <v>0</v>
      </c>
      <c r="AN62" s="2" t="s">
        <v>67</v>
      </c>
      <c r="AO62" s="69">
        <v>42</v>
      </c>
      <c r="AP62" s="69">
        <v>0</v>
      </c>
      <c r="AQ62" s="69">
        <v>0</v>
      </c>
      <c r="AR62" s="68">
        <v>100</v>
      </c>
      <c r="AS62" s="68">
        <v>458.66666666666669</v>
      </c>
      <c r="AT62" s="68">
        <v>0</v>
      </c>
      <c r="AU62" s="69">
        <v>42</v>
      </c>
      <c r="AV62" s="69">
        <v>0</v>
      </c>
      <c r="AW62" s="69">
        <v>0</v>
      </c>
      <c r="AX62" s="68">
        <v>100</v>
      </c>
      <c r="AY62" s="68">
        <v>437.83333333333331</v>
      </c>
      <c r="AZ62" s="68">
        <v>0</v>
      </c>
      <c r="BA62" s="69">
        <v>84</v>
      </c>
      <c r="BB62" s="69">
        <v>0</v>
      </c>
      <c r="BC62" s="69">
        <v>0</v>
      </c>
      <c r="BD62" s="68">
        <v>100</v>
      </c>
      <c r="BE62" s="68">
        <v>448.25</v>
      </c>
      <c r="BF62" s="68">
        <v>0</v>
      </c>
      <c r="BH62" s="31">
        <v>42</v>
      </c>
      <c r="BI62" s="31">
        <v>0</v>
      </c>
      <c r="BJ62" s="31">
        <v>0</v>
      </c>
      <c r="BK62" s="25">
        <v>100</v>
      </c>
      <c r="BL62" s="25">
        <v>515.75</v>
      </c>
      <c r="BM62" s="25">
        <v>0</v>
      </c>
      <c r="BN62" s="239">
        <v>42</v>
      </c>
      <c r="BO62" s="239">
        <v>0</v>
      </c>
      <c r="BP62" s="239">
        <v>0</v>
      </c>
      <c r="BQ62" s="25">
        <v>100</v>
      </c>
      <c r="BR62" s="25">
        <v>429.08333333333331</v>
      </c>
      <c r="BS62" s="25">
        <v>0</v>
      </c>
      <c r="BT62" s="33">
        <v>84</v>
      </c>
      <c r="BU62" s="31">
        <v>0</v>
      </c>
      <c r="BV62" s="31">
        <v>0</v>
      </c>
      <c r="BW62" s="72">
        <v>100</v>
      </c>
      <c r="BX62" s="25">
        <v>472.41666666666663</v>
      </c>
      <c r="BY62" s="25">
        <v>0</v>
      </c>
    </row>
    <row r="63" spans="1:78" x14ac:dyDescent="0.2">
      <c r="A63" s="2" t="s">
        <v>278</v>
      </c>
      <c r="AN63" s="2" t="s">
        <v>67</v>
      </c>
      <c r="AO63" s="69">
        <v>42</v>
      </c>
      <c r="AP63" s="69">
        <v>0</v>
      </c>
      <c r="AQ63" s="69">
        <v>0</v>
      </c>
      <c r="AR63" s="68">
        <v>100</v>
      </c>
      <c r="AS63" s="68">
        <v>495.91666666666669</v>
      </c>
      <c r="AT63" s="68">
        <v>0</v>
      </c>
      <c r="AU63" s="69">
        <v>42</v>
      </c>
      <c r="AV63" s="69">
        <v>0</v>
      </c>
      <c r="AW63" s="69">
        <v>0</v>
      </c>
      <c r="AX63" s="68">
        <v>100</v>
      </c>
      <c r="AY63" s="68">
        <v>487.25</v>
      </c>
      <c r="AZ63" s="68">
        <v>0</v>
      </c>
      <c r="BA63" s="69">
        <v>84</v>
      </c>
      <c r="BB63" s="69">
        <v>0</v>
      </c>
      <c r="BC63" s="69">
        <v>0</v>
      </c>
      <c r="BD63" s="68">
        <v>100</v>
      </c>
      <c r="BE63" s="68">
        <v>491.58333333333337</v>
      </c>
      <c r="BF63" s="68">
        <v>0</v>
      </c>
      <c r="BH63" s="31">
        <v>41</v>
      </c>
      <c r="BI63" s="31">
        <v>0</v>
      </c>
      <c r="BJ63" s="31">
        <v>1</v>
      </c>
      <c r="BK63" s="25">
        <v>97.619047619047635</v>
      </c>
      <c r="BL63" s="25">
        <v>504.47222222222217</v>
      </c>
      <c r="BM63" s="25">
        <v>0</v>
      </c>
      <c r="BN63" s="239">
        <v>42</v>
      </c>
      <c r="BO63" s="239">
        <v>0</v>
      </c>
      <c r="BP63" s="239">
        <v>0</v>
      </c>
      <c r="BQ63" s="25">
        <v>100</v>
      </c>
      <c r="BR63" s="25">
        <v>447.75</v>
      </c>
      <c r="BS63" s="25">
        <v>0</v>
      </c>
      <c r="BT63" s="33">
        <v>83</v>
      </c>
      <c r="BU63" s="31">
        <v>0</v>
      </c>
      <c r="BV63" s="31">
        <v>1</v>
      </c>
      <c r="BW63" s="72">
        <v>98.809523809523824</v>
      </c>
      <c r="BX63" s="25">
        <v>476.11111111111109</v>
      </c>
      <c r="BY63" s="25">
        <v>0</v>
      </c>
    </row>
    <row r="64" spans="1:78" x14ac:dyDescent="0.2">
      <c r="A64" s="2" t="s">
        <v>284</v>
      </c>
      <c r="B64" s="2" t="s">
        <v>68</v>
      </c>
      <c r="C64" s="550">
        <v>42</v>
      </c>
      <c r="D64" s="550">
        <v>0</v>
      </c>
      <c r="E64" s="550">
        <v>0</v>
      </c>
      <c r="F64" s="550">
        <v>100</v>
      </c>
      <c r="G64" s="550">
        <v>432.83333333333331</v>
      </c>
      <c r="H64" s="550" t="s">
        <v>829</v>
      </c>
      <c r="I64" s="550">
        <v>40</v>
      </c>
      <c r="J64" s="550">
        <v>2</v>
      </c>
      <c r="K64" s="550">
        <v>0</v>
      </c>
      <c r="L64" s="550">
        <v>95.238095238095241</v>
      </c>
      <c r="M64" s="550">
        <v>456.91666666666669</v>
      </c>
      <c r="N64" s="550">
        <v>676</v>
      </c>
      <c r="O64" s="550">
        <v>82</v>
      </c>
      <c r="P64" s="550">
        <v>2</v>
      </c>
      <c r="Q64" s="550">
        <v>0</v>
      </c>
      <c r="R64" s="550">
        <v>97.61904761904762</v>
      </c>
      <c r="S64" s="550">
        <v>444.875</v>
      </c>
      <c r="T64" s="550">
        <v>676</v>
      </c>
      <c r="V64" s="550">
        <v>42</v>
      </c>
      <c r="W64" s="550">
        <v>0</v>
      </c>
      <c r="X64" s="550">
        <v>0</v>
      </c>
      <c r="Y64" s="550">
        <v>100</v>
      </c>
      <c r="Z64" s="550">
        <v>369.08333333333331</v>
      </c>
      <c r="AA64" s="550" t="s">
        <v>829</v>
      </c>
      <c r="AB64" s="550">
        <v>41</v>
      </c>
      <c r="AC64" s="550">
        <v>1</v>
      </c>
      <c r="AD64" s="550">
        <v>0</v>
      </c>
      <c r="AE64" s="550">
        <v>97.619047619047635</v>
      </c>
      <c r="AF64" s="550">
        <v>508.58333333333331</v>
      </c>
      <c r="AG64" s="550">
        <v>421</v>
      </c>
      <c r="AH64" s="550">
        <v>83</v>
      </c>
      <c r="AI64" s="550">
        <v>1</v>
      </c>
      <c r="AJ64" s="550">
        <v>0</v>
      </c>
      <c r="AK64" s="550">
        <v>98.809523809523824</v>
      </c>
      <c r="AL64" s="550">
        <v>438.83333333333331</v>
      </c>
      <c r="AM64" s="550">
        <v>421</v>
      </c>
      <c r="AN64" s="2" t="s">
        <v>68</v>
      </c>
      <c r="AO64" s="69">
        <v>42</v>
      </c>
      <c r="AP64" s="69">
        <v>0</v>
      </c>
      <c r="AQ64" s="69">
        <v>0</v>
      </c>
      <c r="AR64" s="68">
        <v>100</v>
      </c>
      <c r="AS64" s="68">
        <v>430.58333333333331</v>
      </c>
      <c r="AT64" s="68">
        <v>0</v>
      </c>
      <c r="AU64" s="69">
        <v>42</v>
      </c>
      <c r="AV64" s="69">
        <v>0</v>
      </c>
      <c r="AW64" s="69">
        <v>0</v>
      </c>
      <c r="AX64" s="68">
        <v>100</v>
      </c>
      <c r="AY64" s="68">
        <v>455.58333333333331</v>
      </c>
      <c r="AZ64" s="68">
        <v>0</v>
      </c>
      <c r="BA64" s="69">
        <v>84</v>
      </c>
      <c r="BB64" s="69">
        <v>0</v>
      </c>
      <c r="BC64" s="69">
        <v>0</v>
      </c>
      <c r="BD64" s="68">
        <v>100</v>
      </c>
      <c r="BE64" s="68">
        <v>443.08333333333331</v>
      </c>
      <c r="BF64" s="68">
        <v>0</v>
      </c>
      <c r="BH64" s="31">
        <v>42</v>
      </c>
      <c r="BI64" s="31">
        <v>0</v>
      </c>
      <c r="BJ64" s="31">
        <v>0</v>
      </c>
      <c r="BK64" s="25">
        <v>100</v>
      </c>
      <c r="BL64" s="25">
        <v>455.75</v>
      </c>
      <c r="BM64" s="25">
        <v>0</v>
      </c>
      <c r="BN64" s="239">
        <v>42</v>
      </c>
      <c r="BO64" s="239">
        <v>0</v>
      </c>
      <c r="BP64" s="239">
        <v>0</v>
      </c>
      <c r="BQ64" s="25">
        <v>100</v>
      </c>
      <c r="BR64" s="25">
        <v>555.41666666666663</v>
      </c>
      <c r="BS64" s="25">
        <v>0</v>
      </c>
      <c r="BT64" s="33">
        <v>84</v>
      </c>
      <c r="BU64" s="31">
        <v>0</v>
      </c>
      <c r="BV64" s="31">
        <v>0</v>
      </c>
      <c r="BW64" s="72">
        <v>100</v>
      </c>
      <c r="BX64" s="25">
        <v>505.58333333333331</v>
      </c>
      <c r="BY64" s="25">
        <v>0</v>
      </c>
    </row>
    <row r="65" spans="1:77" x14ac:dyDescent="0.2">
      <c r="A65" s="2" t="s">
        <v>312</v>
      </c>
      <c r="B65" s="2" t="s">
        <v>68</v>
      </c>
      <c r="C65" s="550">
        <v>40</v>
      </c>
      <c r="D65" s="550">
        <v>2</v>
      </c>
      <c r="E65" s="550">
        <v>0</v>
      </c>
      <c r="F65" s="550">
        <v>95.238095238095241</v>
      </c>
      <c r="G65" s="550">
        <v>408.25</v>
      </c>
      <c r="H65" s="550">
        <v>283.5</v>
      </c>
      <c r="I65" s="550">
        <v>42</v>
      </c>
      <c r="J65" s="550">
        <v>0</v>
      </c>
      <c r="K65" s="550">
        <v>0</v>
      </c>
      <c r="L65" s="550">
        <v>100</v>
      </c>
      <c r="M65" s="550">
        <v>384.83333333333331</v>
      </c>
      <c r="N65" s="550" t="s">
        <v>829</v>
      </c>
      <c r="O65" s="550">
        <v>82</v>
      </c>
      <c r="P65" s="550">
        <v>2</v>
      </c>
      <c r="Q65" s="550">
        <v>0</v>
      </c>
      <c r="R65" s="550">
        <v>97.61904761904762</v>
      </c>
      <c r="S65" s="550">
        <v>396.54166666666663</v>
      </c>
      <c r="T65" s="550">
        <v>283.5</v>
      </c>
      <c r="V65" s="550">
        <v>42</v>
      </c>
      <c r="W65" s="550">
        <v>0</v>
      </c>
      <c r="X65" s="550">
        <v>0</v>
      </c>
      <c r="Y65" s="550">
        <v>100</v>
      </c>
      <c r="Z65" s="550">
        <v>520.91666666666663</v>
      </c>
      <c r="AA65" s="550" t="s">
        <v>829</v>
      </c>
      <c r="AB65" s="550">
        <v>36</v>
      </c>
      <c r="AC65" s="550">
        <v>1</v>
      </c>
      <c r="AD65" s="550">
        <v>5</v>
      </c>
      <c r="AE65" s="550">
        <v>85.714285714285708</v>
      </c>
      <c r="AF65" s="550">
        <v>368.16666666666669</v>
      </c>
      <c r="AG65" s="550">
        <v>1520</v>
      </c>
      <c r="AH65" s="550">
        <v>78</v>
      </c>
      <c r="AI65" s="550">
        <v>1</v>
      </c>
      <c r="AJ65" s="550">
        <v>5</v>
      </c>
      <c r="AK65" s="550">
        <v>92.857142857142861</v>
      </c>
      <c r="AL65" s="550">
        <v>444.54166666666663</v>
      </c>
      <c r="AM65" s="550">
        <v>1520</v>
      </c>
      <c r="AN65" s="2" t="s">
        <v>68</v>
      </c>
      <c r="AO65" s="69">
        <v>42</v>
      </c>
      <c r="AP65" s="69">
        <v>0</v>
      </c>
      <c r="AQ65" s="69">
        <v>0</v>
      </c>
      <c r="AR65" s="68">
        <v>100</v>
      </c>
      <c r="AS65" s="68">
        <v>397.25</v>
      </c>
      <c r="AT65" s="68">
        <v>0</v>
      </c>
      <c r="AU65" s="69">
        <v>42</v>
      </c>
      <c r="AV65" s="69">
        <v>0</v>
      </c>
      <c r="AW65" s="69">
        <v>0</v>
      </c>
      <c r="AX65" s="68">
        <v>100</v>
      </c>
      <c r="AY65" s="68">
        <v>446.33333333333331</v>
      </c>
      <c r="AZ65" s="68">
        <v>0</v>
      </c>
      <c r="BA65" s="69">
        <v>84</v>
      </c>
      <c r="BB65" s="69">
        <v>0</v>
      </c>
      <c r="BC65" s="69">
        <v>0</v>
      </c>
      <c r="BD65" s="25">
        <v>100</v>
      </c>
      <c r="BE65" s="25">
        <v>421.79166666666663</v>
      </c>
      <c r="BF65" s="37">
        <v>0</v>
      </c>
      <c r="BH65" s="31">
        <v>42</v>
      </c>
      <c r="BI65" s="31">
        <v>0</v>
      </c>
      <c r="BJ65" s="31">
        <v>0</v>
      </c>
      <c r="BK65" s="25">
        <v>100</v>
      </c>
      <c r="BL65" s="25">
        <v>426.75</v>
      </c>
      <c r="BM65" s="25">
        <v>0</v>
      </c>
      <c r="BN65" s="239">
        <v>42</v>
      </c>
      <c r="BO65" s="239">
        <v>0</v>
      </c>
      <c r="BP65" s="239">
        <v>0</v>
      </c>
      <c r="BQ65" s="25">
        <v>100</v>
      </c>
      <c r="BR65" s="25">
        <v>600.75</v>
      </c>
      <c r="BS65" s="25">
        <v>0</v>
      </c>
      <c r="BT65" s="33">
        <v>84</v>
      </c>
      <c r="BU65" s="31">
        <v>0</v>
      </c>
      <c r="BV65" s="31">
        <v>0</v>
      </c>
      <c r="BW65" s="72">
        <v>100</v>
      </c>
      <c r="BX65" s="25">
        <v>513.75</v>
      </c>
      <c r="BY65" s="25">
        <v>0</v>
      </c>
    </row>
    <row r="66" spans="1:77" x14ac:dyDescent="0.2">
      <c r="A66" s="2" t="s">
        <v>320</v>
      </c>
      <c r="AN66" s="2" t="s">
        <v>67</v>
      </c>
      <c r="AO66" s="69">
        <v>42</v>
      </c>
      <c r="AP66" s="69">
        <v>0</v>
      </c>
      <c r="AQ66" s="69">
        <v>0</v>
      </c>
      <c r="AR66" s="68">
        <v>100</v>
      </c>
      <c r="AS66" s="68">
        <v>587.16666666666663</v>
      </c>
      <c r="AT66" s="68">
        <v>0</v>
      </c>
      <c r="AU66" s="69">
        <v>42</v>
      </c>
      <c r="AV66" s="69">
        <v>0</v>
      </c>
      <c r="AW66" s="69">
        <v>0</v>
      </c>
      <c r="AX66" s="68">
        <v>100</v>
      </c>
      <c r="AY66" s="68">
        <v>544.91666666666663</v>
      </c>
      <c r="AZ66" s="68">
        <v>0</v>
      </c>
      <c r="BA66" s="69">
        <v>84</v>
      </c>
      <c r="BB66" s="69">
        <v>0</v>
      </c>
      <c r="BC66" s="69">
        <v>0</v>
      </c>
      <c r="BD66" s="25">
        <v>100</v>
      </c>
      <c r="BE66" s="25">
        <v>566.04166666666663</v>
      </c>
      <c r="BF66" s="37">
        <v>0</v>
      </c>
      <c r="BH66" s="31">
        <v>42</v>
      </c>
      <c r="BI66" s="31">
        <v>0</v>
      </c>
      <c r="BJ66" s="31">
        <v>0</v>
      </c>
      <c r="BK66" s="25">
        <v>100</v>
      </c>
      <c r="BL66" s="25">
        <v>730.16666666666663</v>
      </c>
      <c r="BM66" s="25">
        <v>0</v>
      </c>
      <c r="BN66" s="239">
        <v>42</v>
      </c>
      <c r="BO66" s="239">
        <v>0</v>
      </c>
      <c r="BP66" s="239">
        <v>0</v>
      </c>
      <c r="BQ66" s="25">
        <v>100</v>
      </c>
      <c r="BR66" s="25">
        <v>699.41666666666663</v>
      </c>
      <c r="BS66" s="25">
        <v>0</v>
      </c>
      <c r="BT66" s="33">
        <v>84</v>
      </c>
      <c r="BU66" s="31">
        <v>0</v>
      </c>
      <c r="BV66" s="31">
        <v>0</v>
      </c>
      <c r="BW66" s="72">
        <v>100</v>
      </c>
      <c r="BX66" s="25">
        <v>714.79166666666663</v>
      </c>
      <c r="BY66" s="25">
        <v>0</v>
      </c>
    </row>
    <row r="67" spans="1:77" x14ac:dyDescent="0.2">
      <c r="A67" s="2" t="s">
        <v>323</v>
      </c>
      <c r="B67" s="2" t="s">
        <v>67</v>
      </c>
      <c r="C67" s="550">
        <v>42</v>
      </c>
      <c r="D67" s="550">
        <v>0</v>
      </c>
      <c r="E67" s="550">
        <v>0</v>
      </c>
      <c r="F67" s="550">
        <v>100</v>
      </c>
      <c r="G67" s="550">
        <v>346.08333333333331</v>
      </c>
      <c r="H67" s="550" t="s">
        <v>829</v>
      </c>
      <c r="I67" s="550">
        <v>39</v>
      </c>
      <c r="J67" s="550">
        <v>2</v>
      </c>
      <c r="K67" s="550">
        <v>1</v>
      </c>
      <c r="L67" s="550">
        <v>92.857142857142847</v>
      </c>
      <c r="M67" s="550">
        <v>325.5</v>
      </c>
      <c r="N67" s="550">
        <v>779</v>
      </c>
      <c r="O67" s="550">
        <v>81</v>
      </c>
      <c r="P67" s="550">
        <v>2</v>
      </c>
      <c r="Q67" s="550">
        <v>1</v>
      </c>
      <c r="R67" s="550">
        <v>96.428571428571416</v>
      </c>
      <c r="S67" s="550">
        <v>335.79166666666663</v>
      </c>
      <c r="T67" s="550">
        <v>799</v>
      </c>
      <c r="V67" s="550">
        <v>42</v>
      </c>
      <c r="W67" s="550">
        <v>0</v>
      </c>
      <c r="X67" s="550">
        <v>0</v>
      </c>
      <c r="Y67" s="550">
        <v>100</v>
      </c>
      <c r="Z67" s="550">
        <v>409</v>
      </c>
      <c r="AA67" s="550" t="s">
        <v>829</v>
      </c>
      <c r="AB67" s="550">
        <v>42</v>
      </c>
      <c r="AC67" s="550">
        <v>0</v>
      </c>
      <c r="AD67" s="550">
        <v>0</v>
      </c>
      <c r="AE67" s="550">
        <v>100</v>
      </c>
      <c r="AF67" s="550">
        <v>367.5</v>
      </c>
      <c r="AG67" s="550" t="s">
        <v>829</v>
      </c>
      <c r="AH67" s="550">
        <v>84</v>
      </c>
      <c r="AI67" s="550">
        <v>0</v>
      </c>
      <c r="AJ67" s="550">
        <v>0</v>
      </c>
      <c r="AK67" s="550">
        <v>100</v>
      </c>
      <c r="AL67" s="550">
        <v>388.25</v>
      </c>
      <c r="AM67" s="550">
        <v>0</v>
      </c>
      <c r="AN67" s="2" t="s">
        <v>67</v>
      </c>
      <c r="AO67" s="69">
        <v>42</v>
      </c>
      <c r="AP67" s="69">
        <v>0</v>
      </c>
      <c r="AQ67" s="69">
        <v>0</v>
      </c>
      <c r="AR67" s="68">
        <v>100</v>
      </c>
      <c r="AS67" s="68">
        <v>395.25</v>
      </c>
      <c r="AT67" s="68">
        <v>0</v>
      </c>
      <c r="AU67" s="69">
        <v>42</v>
      </c>
      <c r="AV67" s="69">
        <v>0</v>
      </c>
      <c r="AW67" s="69">
        <v>0</v>
      </c>
      <c r="AX67" s="68">
        <v>100</v>
      </c>
      <c r="AY67" s="68">
        <v>382</v>
      </c>
      <c r="AZ67" s="68">
        <v>0</v>
      </c>
      <c r="BA67" s="69">
        <v>84</v>
      </c>
      <c r="BB67" s="69">
        <v>0</v>
      </c>
      <c r="BC67" s="69">
        <v>0</v>
      </c>
      <c r="BD67" s="25">
        <v>100</v>
      </c>
      <c r="BE67" s="25">
        <v>388.625</v>
      </c>
      <c r="BF67" s="37">
        <v>0</v>
      </c>
      <c r="BH67" s="31">
        <v>41</v>
      </c>
      <c r="BI67" s="31">
        <v>1</v>
      </c>
      <c r="BJ67" s="31">
        <v>0</v>
      </c>
      <c r="BK67" s="25">
        <v>97.619047619047635</v>
      </c>
      <c r="BL67" s="25">
        <v>515</v>
      </c>
      <c r="BM67" s="25">
        <v>698</v>
      </c>
      <c r="BN67" s="239">
        <v>42</v>
      </c>
      <c r="BO67" s="239">
        <v>0</v>
      </c>
      <c r="BP67" s="239">
        <v>0</v>
      </c>
      <c r="BQ67" s="25">
        <v>100</v>
      </c>
      <c r="BR67" s="25">
        <v>451.91666666666669</v>
      </c>
      <c r="BS67" s="25">
        <v>0</v>
      </c>
      <c r="BT67" s="33">
        <v>83</v>
      </c>
      <c r="BU67" s="31">
        <v>1</v>
      </c>
      <c r="BV67" s="31">
        <v>0</v>
      </c>
      <c r="BW67" s="72">
        <v>98.809523809523824</v>
      </c>
      <c r="BX67" s="25">
        <v>483.45833333333337</v>
      </c>
      <c r="BY67" s="25">
        <v>698</v>
      </c>
    </row>
    <row r="68" spans="1:77" x14ac:dyDescent="0.2">
      <c r="A68" s="2" t="s">
        <v>327</v>
      </c>
      <c r="B68" s="2" t="s">
        <v>68</v>
      </c>
      <c r="C68" s="550">
        <v>42</v>
      </c>
      <c r="D68" s="550">
        <v>0</v>
      </c>
      <c r="E68" s="550">
        <v>0</v>
      </c>
      <c r="F68" s="550">
        <v>100</v>
      </c>
      <c r="G68" s="550">
        <v>540.5</v>
      </c>
      <c r="H68" s="550" t="s">
        <v>829</v>
      </c>
      <c r="I68" s="550">
        <v>41</v>
      </c>
      <c r="J68" s="550">
        <v>0</v>
      </c>
      <c r="K68" s="550">
        <v>1</v>
      </c>
      <c r="L68" s="550">
        <v>97.619047619047635</v>
      </c>
      <c r="M68" s="550">
        <v>461.22222222222217</v>
      </c>
      <c r="N68" s="550" t="s">
        <v>829</v>
      </c>
      <c r="O68" s="550">
        <v>83</v>
      </c>
      <c r="P68" s="550">
        <v>0</v>
      </c>
      <c r="Q68" s="550">
        <v>1</v>
      </c>
      <c r="R68" s="550">
        <v>98.809523809523824</v>
      </c>
      <c r="S68" s="550">
        <v>500.86111111111109</v>
      </c>
      <c r="T68" s="550">
        <v>0</v>
      </c>
      <c r="V68" s="550">
        <v>41</v>
      </c>
      <c r="W68" s="550">
        <v>0</v>
      </c>
      <c r="X68" s="550">
        <v>1</v>
      </c>
      <c r="Y68" s="550">
        <v>97.619047619047635</v>
      </c>
      <c r="Z68" s="550">
        <v>615.94444444444446</v>
      </c>
      <c r="AA68" s="550" t="s">
        <v>829</v>
      </c>
      <c r="AB68" s="550">
        <v>38</v>
      </c>
      <c r="AC68" s="550">
        <v>0</v>
      </c>
      <c r="AD68" s="550">
        <v>4</v>
      </c>
      <c r="AE68" s="550">
        <v>90.476190476190482</v>
      </c>
      <c r="AF68" s="550">
        <v>672.38888888888891</v>
      </c>
      <c r="AG68" s="550" t="s">
        <v>829</v>
      </c>
      <c r="AH68" s="550">
        <v>79</v>
      </c>
      <c r="AI68" s="550">
        <v>0</v>
      </c>
      <c r="AJ68" s="550">
        <v>5</v>
      </c>
      <c r="AK68" s="550">
        <v>94.047619047619065</v>
      </c>
      <c r="AL68" s="550">
        <v>644.16666666666674</v>
      </c>
      <c r="AM68" s="550">
        <v>0</v>
      </c>
      <c r="AN68" s="2" t="s">
        <v>68</v>
      </c>
      <c r="AO68" s="69">
        <v>42</v>
      </c>
      <c r="AP68" s="69">
        <v>0</v>
      </c>
      <c r="AQ68" s="69">
        <v>0</v>
      </c>
      <c r="AR68" s="68">
        <v>100</v>
      </c>
      <c r="AS68" s="68">
        <v>462.25</v>
      </c>
      <c r="AT68" s="68">
        <v>0</v>
      </c>
      <c r="AU68" s="69">
        <v>42</v>
      </c>
      <c r="AV68" s="69">
        <v>0</v>
      </c>
      <c r="AW68" s="69">
        <v>0</v>
      </c>
      <c r="AX68" s="68">
        <v>100</v>
      </c>
      <c r="AY68" s="68">
        <v>518.25</v>
      </c>
      <c r="AZ68" s="68">
        <v>0</v>
      </c>
      <c r="BA68" s="69">
        <v>84</v>
      </c>
      <c r="BB68" s="69">
        <v>0</v>
      </c>
      <c r="BC68" s="69">
        <v>0</v>
      </c>
      <c r="BD68" s="68">
        <v>100</v>
      </c>
      <c r="BE68" s="68">
        <v>490.25</v>
      </c>
      <c r="BF68" s="68">
        <v>0</v>
      </c>
      <c r="BH68" s="31">
        <v>41</v>
      </c>
      <c r="BI68" s="31">
        <v>1</v>
      </c>
      <c r="BJ68" s="31">
        <v>0</v>
      </c>
      <c r="BK68" s="25">
        <v>97.619047619047635</v>
      </c>
      <c r="BL68" s="25">
        <v>531.08333333333337</v>
      </c>
      <c r="BM68" s="25">
        <v>362</v>
      </c>
      <c r="BN68" s="239">
        <v>40</v>
      </c>
      <c r="BO68" s="239">
        <v>1</v>
      </c>
      <c r="BP68" s="239">
        <v>1</v>
      </c>
      <c r="BQ68" s="25">
        <v>95.238095238095241</v>
      </c>
      <c r="BR68" s="25">
        <v>571.1111111111112</v>
      </c>
      <c r="BS68" s="25">
        <v>1670</v>
      </c>
      <c r="BT68" s="33">
        <v>81</v>
      </c>
      <c r="BU68" s="31">
        <v>2</v>
      </c>
      <c r="BV68" s="31">
        <v>1</v>
      </c>
      <c r="BW68" s="72">
        <v>96.428571428571445</v>
      </c>
      <c r="BX68" s="25">
        <v>551.09722222222229</v>
      </c>
      <c r="BY68" s="25">
        <v>1016</v>
      </c>
    </row>
    <row r="69" spans="1:77" x14ac:dyDescent="0.2">
      <c r="A69" s="2" t="s">
        <v>333</v>
      </c>
      <c r="B69" s="2" t="s">
        <v>68</v>
      </c>
      <c r="C69" s="550">
        <v>42</v>
      </c>
      <c r="D69" s="550">
        <v>0</v>
      </c>
      <c r="E69" s="550">
        <v>0</v>
      </c>
      <c r="F69" s="550">
        <v>100</v>
      </c>
      <c r="G69" s="550">
        <v>498</v>
      </c>
      <c r="H69" s="550" t="s">
        <v>829</v>
      </c>
      <c r="I69" s="550">
        <v>42</v>
      </c>
      <c r="J69" s="550">
        <v>0</v>
      </c>
      <c r="K69" s="550">
        <v>0</v>
      </c>
      <c r="L69" s="550">
        <v>100</v>
      </c>
      <c r="M69" s="550">
        <v>441.83333333333331</v>
      </c>
      <c r="N69" s="550" t="s">
        <v>829</v>
      </c>
      <c r="O69" s="550">
        <v>84</v>
      </c>
      <c r="P69" s="550">
        <v>0</v>
      </c>
      <c r="Q69" s="550">
        <v>0</v>
      </c>
      <c r="R69" s="550">
        <v>100</v>
      </c>
      <c r="S69" s="550">
        <v>469.91666666666663</v>
      </c>
      <c r="T69" s="550">
        <v>0</v>
      </c>
      <c r="V69" s="550">
        <v>42</v>
      </c>
      <c r="W69" s="550">
        <v>0</v>
      </c>
      <c r="X69" s="550">
        <v>0</v>
      </c>
      <c r="Y69" s="550">
        <v>100</v>
      </c>
      <c r="Z69" s="550">
        <v>845.08333333333337</v>
      </c>
      <c r="AA69" s="550" t="s">
        <v>829</v>
      </c>
      <c r="AB69" s="550">
        <v>41</v>
      </c>
      <c r="AC69" s="550">
        <v>0</v>
      </c>
      <c r="AD69" s="550">
        <v>1</v>
      </c>
      <c r="AE69" s="550">
        <v>97.619047619047635</v>
      </c>
      <c r="AF69" s="550">
        <v>774.16666666666663</v>
      </c>
      <c r="AG69" s="550" t="s">
        <v>829</v>
      </c>
      <c r="AH69" s="550">
        <v>83</v>
      </c>
      <c r="AI69" s="550">
        <v>0</v>
      </c>
      <c r="AJ69" s="550">
        <v>1</v>
      </c>
      <c r="AK69" s="550">
        <v>98.809523809523824</v>
      </c>
      <c r="AL69" s="550">
        <v>809.625</v>
      </c>
      <c r="AM69" s="550">
        <v>0</v>
      </c>
      <c r="AN69" s="2" t="s">
        <v>68</v>
      </c>
      <c r="AO69" s="69">
        <v>42</v>
      </c>
      <c r="AP69" s="69">
        <v>0</v>
      </c>
      <c r="AQ69" s="69">
        <v>0</v>
      </c>
      <c r="AR69" s="68">
        <v>100</v>
      </c>
      <c r="AS69" s="68">
        <v>523.83333333333337</v>
      </c>
      <c r="AT69" s="68">
        <v>0</v>
      </c>
      <c r="AU69" s="69">
        <v>42</v>
      </c>
      <c r="AV69" s="69">
        <v>0</v>
      </c>
      <c r="AW69" s="69">
        <v>0</v>
      </c>
      <c r="AX69" s="68">
        <v>100</v>
      </c>
      <c r="AY69" s="68">
        <v>456.5</v>
      </c>
      <c r="AZ69" s="68">
        <v>0</v>
      </c>
      <c r="BA69" s="69">
        <v>84</v>
      </c>
      <c r="BB69" s="69">
        <v>0</v>
      </c>
      <c r="BC69" s="69">
        <v>0</v>
      </c>
      <c r="BD69" s="68">
        <v>100</v>
      </c>
      <c r="BE69" s="68">
        <v>490.16666666666669</v>
      </c>
      <c r="BF69" s="68">
        <v>0</v>
      </c>
      <c r="BH69" s="31">
        <v>41</v>
      </c>
      <c r="BI69" s="31">
        <v>0</v>
      </c>
      <c r="BJ69" s="31">
        <v>1</v>
      </c>
      <c r="BK69" s="25">
        <v>97.619047619047635</v>
      </c>
      <c r="BL69" s="25">
        <v>865.91666666666663</v>
      </c>
      <c r="BM69" s="25">
        <v>0</v>
      </c>
      <c r="BN69" s="239">
        <v>42</v>
      </c>
      <c r="BO69" s="239">
        <v>0</v>
      </c>
      <c r="BP69" s="239">
        <v>0</v>
      </c>
      <c r="BQ69" s="25">
        <v>100</v>
      </c>
      <c r="BR69" s="25">
        <v>635.5</v>
      </c>
      <c r="BS69" s="25">
        <v>0</v>
      </c>
      <c r="BT69" s="33">
        <v>83</v>
      </c>
      <c r="BU69" s="31">
        <v>0</v>
      </c>
      <c r="BV69" s="31">
        <v>1</v>
      </c>
      <c r="BW69" s="72">
        <v>98.809523809523824</v>
      </c>
      <c r="BX69" s="25">
        <v>750.70833333333326</v>
      </c>
      <c r="BY69" s="25">
        <v>0</v>
      </c>
    </row>
    <row r="70" spans="1:77" x14ac:dyDescent="0.2">
      <c r="A70" s="2" t="s">
        <v>356</v>
      </c>
      <c r="B70" s="2" t="s">
        <v>67</v>
      </c>
      <c r="C70" s="550">
        <v>42</v>
      </c>
      <c r="D70" s="550">
        <v>0</v>
      </c>
      <c r="E70" s="550">
        <v>0</v>
      </c>
      <c r="F70" s="550">
        <v>100</v>
      </c>
      <c r="G70" s="550">
        <v>1298.75</v>
      </c>
      <c r="H70" s="550" t="s">
        <v>829</v>
      </c>
      <c r="I70" s="550">
        <v>42</v>
      </c>
      <c r="J70" s="550">
        <v>0</v>
      </c>
      <c r="K70" s="550">
        <v>0</v>
      </c>
      <c r="L70" s="550">
        <v>100</v>
      </c>
      <c r="M70" s="550">
        <v>431.66666666666669</v>
      </c>
      <c r="N70" s="550" t="s">
        <v>829</v>
      </c>
      <c r="O70" s="550">
        <v>84</v>
      </c>
      <c r="P70" s="550">
        <v>0</v>
      </c>
      <c r="Q70" s="550">
        <v>0</v>
      </c>
      <c r="R70" s="550">
        <v>100</v>
      </c>
      <c r="S70" s="550">
        <v>432.29166666666669</v>
      </c>
      <c r="T70" s="550">
        <v>0</v>
      </c>
      <c r="V70" s="550">
        <v>42</v>
      </c>
      <c r="W70" s="550">
        <v>0</v>
      </c>
      <c r="X70" s="550">
        <v>0</v>
      </c>
      <c r="Y70" s="550">
        <v>100</v>
      </c>
      <c r="Z70" s="550">
        <v>489.58333333333331</v>
      </c>
      <c r="AA70" s="550" t="s">
        <v>829</v>
      </c>
      <c r="AB70" s="550">
        <v>41</v>
      </c>
      <c r="AC70" s="550">
        <v>0</v>
      </c>
      <c r="AD70" s="550">
        <v>1</v>
      </c>
      <c r="AE70" s="550">
        <v>97.619047619047635</v>
      </c>
      <c r="AF70" s="550">
        <v>547.05555555555554</v>
      </c>
      <c r="AG70" s="550" t="s">
        <v>829</v>
      </c>
      <c r="AH70" s="550">
        <v>83</v>
      </c>
      <c r="AI70" s="550">
        <v>0</v>
      </c>
      <c r="AJ70" s="550">
        <v>1</v>
      </c>
      <c r="AK70" s="550">
        <v>98.809523809523824</v>
      </c>
      <c r="AL70" s="550">
        <v>518.31944444444446</v>
      </c>
      <c r="AM70" s="550">
        <v>0</v>
      </c>
      <c r="AN70" s="2" t="s">
        <v>67</v>
      </c>
      <c r="AO70" s="69">
        <v>42</v>
      </c>
      <c r="AP70" s="69">
        <v>0</v>
      </c>
      <c r="AQ70" s="69">
        <v>0</v>
      </c>
      <c r="AR70" s="68">
        <v>100</v>
      </c>
      <c r="AS70" s="68">
        <v>440.16666666666669</v>
      </c>
      <c r="AT70" s="68">
        <v>0</v>
      </c>
      <c r="AU70" s="69">
        <v>42</v>
      </c>
      <c r="AV70" s="69">
        <v>0</v>
      </c>
      <c r="AW70" s="69">
        <v>0</v>
      </c>
      <c r="AX70" s="68">
        <v>100</v>
      </c>
      <c r="AY70" s="68">
        <v>456.91666666666669</v>
      </c>
      <c r="AZ70" s="68">
        <v>0</v>
      </c>
      <c r="BA70" s="69">
        <v>84</v>
      </c>
      <c r="BB70" s="69">
        <v>0</v>
      </c>
      <c r="BC70" s="69">
        <v>0</v>
      </c>
      <c r="BD70" s="25">
        <v>100</v>
      </c>
      <c r="BE70" s="25">
        <v>448.54166666666669</v>
      </c>
      <c r="BF70" s="37">
        <v>0</v>
      </c>
      <c r="BH70" s="31">
        <v>42</v>
      </c>
      <c r="BI70" s="31">
        <v>0</v>
      </c>
      <c r="BJ70" s="31">
        <v>0</v>
      </c>
      <c r="BK70" s="25">
        <v>100</v>
      </c>
      <c r="BL70" s="25">
        <v>498.16666666666669</v>
      </c>
      <c r="BM70" s="25">
        <v>0</v>
      </c>
      <c r="BN70" s="239">
        <v>42</v>
      </c>
      <c r="BO70" s="239">
        <v>0</v>
      </c>
      <c r="BP70" s="239">
        <v>0</v>
      </c>
      <c r="BQ70" s="25">
        <v>100</v>
      </c>
      <c r="BR70" s="25">
        <v>467.5</v>
      </c>
      <c r="BS70" s="25">
        <v>0</v>
      </c>
      <c r="BT70" s="33">
        <v>84</v>
      </c>
      <c r="BU70" s="31">
        <v>0</v>
      </c>
      <c r="BV70" s="31">
        <v>0</v>
      </c>
      <c r="BW70" s="72">
        <v>100</v>
      </c>
      <c r="BX70" s="25">
        <v>482.83333333333337</v>
      </c>
      <c r="BY70" s="25">
        <v>0</v>
      </c>
    </row>
    <row r="71" spans="1:77" x14ac:dyDescent="0.2">
      <c r="A71" s="2" t="s">
        <v>360</v>
      </c>
      <c r="B71" s="2" t="s">
        <v>67</v>
      </c>
      <c r="C71" s="550">
        <v>42</v>
      </c>
      <c r="D71" s="550">
        <v>0</v>
      </c>
      <c r="E71" s="550">
        <v>0</v>
      </c>
      <c r="F71" s="550">
        <v>100</v>
      </c>
      <c r="G71" s="550">
        <v>368.08333333333331</v>
      </c>
      <c r="H71" s="550" t="s">
        <v>829</v>
      </c>
      <c r="I71" s="550">
        <v>42</v>
      </c>
      <c r="J71" s="550">
        <v>0</v>
      </c>
      <c r="K71" s="550">
        <v>0</v>
      </c>
      <c r="L71" s="550">
        <v>100</v>
      </c>
      <c r="M71" s="550">
        <v>380.33333333333331</v>
      </c>
      <c r="N71" s="550" t="s">
        <v>829</v>
      </c>
      <c r="O71" s="550">
        <v>84</v>
      </c>
      <c r="P71" s="550">
        <v>0</v>
      </c>
      <c r="Q71" s="550">
        <v>0</v>
      </c>
      <c r="R71" s="550">
        <v>100</v>
      </c>
      <c r="S71" s="550">
        <v>374.20833333333331</v>
      </c>
      <c r="T71" s="550">
        <v>0</v>
      </c>
      <c r="V71" s="550">
        <v>42</v>
      </c>
      <c r="W71" s="550">
        <v>0</v>
      </c>
      <c r="X71" s="550">
        <v>0</v>
      </c>
      <c r="Y71" s="550">
        <v>100</v>
      </c>
      <c r="Z71" s="550">
        <v>460.5</v>
      </c>
      <c r="AA71" s="550" t="s">
        <v>829</v>
      </c>
      <c r="AB71" s="550">
        <v>42</v>
      </c>
      <c r="AC71" s="550">
        <v>0</v>
      </c>
      <c r="AD71" s="550">
        <v>0</v>
      </c>
      <c r="AE71" s="550">
        <v>100</v>
      </c>
      <c r="AF71" s="550">
        <v>440</v>
      </c>
      <c r="AG71" s="550" t="s">
        <v>829</v>
      </c>
      <c r="AH71" s="550">
        <v>84</v>
      </c>
      <c r="AI71" s="550">
        <v>0</v>
      </c>
      <c r="AJ71" s="550">
        <v>0</v>
      </c>
      <c r="AK71" s="550">
        <v>100</v>
      </c>
      <c r="AL71" s="550">
        <v>450.25</v>
      </c>
      <c r="AM71" s="550">
        <v>0</v>
      </c>
      <c r="AN71" s="2" t="s">
        <v>67</v>
      </c>
      <c r="AO71" s="69">
        <v>42</v>
      </c>
      <c r="AP71" s="69">
        <v>0</v>
      </c>
      <c r="AQ71" s="69">
        <v>0</v>
      </c>
      <c r="AR71" s="68">
        <v>100</v>
      </c>
      <c r="AS71" s="68">
        <v>422.66666666666669</v>
      </c>
      <c r="AT71" s="68">
        <v>0</v>
      </c>
      <c r="AU71" s="69">
        <v>42</v>
      </c>
      <c r="AV71" s="69">
        <v>0</v>
      </c>
      <c r="AW71" s="69">
        <v>0</v>
      </c>
      <c r="AX71" s="68">
        <v>100</v>
      </c>
      <c r="AY71" s="68">
        <v>443.33333333333331</v>
      </c>
      <c r="AZ71" s="68">
        <v>0</v>
      </c>
      <c r="BA71" s="69">
        <v>84</v>
      </c>
      <c r="BB71" s="69">
        <v>0</v>
      </c>
      <c r="BC71" s="69">
        <v>0</v>
      </c>
      <c r="BD71" s="25">
        <v>100</v>
      </c>
      <c r="BE71" s="25">
        <v>433</v>
      </c>
      <c r="BF71" s="37">
        <v>0</v>
      </c>
      <c r="BH71" s="31">
        <v>41</v>
      </c>
      <c r="BI71" s="31">
        <v>0</v>
      </c>
      <c r="BJ71" s="31">
        <v>1</v>
      </c>
      <c r="BK71" s="25">
        <v>97.619047619047635</v>
      </c>
      <c r="BL71" s="25">
        <v>614.69444444444446</v>
      </c>
      <c r="BM71" s="25">
        <v>0</v>
      </c>
      <c r="BN71" s="239">
        <v>42</v>
      </c>
      <c r="BO71" s="239">
        <v>0</v>
      </c>
      <c r="BP71" s="239">
        <v>0</v>
      </c>
      <c r="BQ71" s="25">
        <v>100</v>
      </c>
      <c r="BR71" s="25">
        <v>607</v>
      </c>
      <c r="BS71" s="25">
        <v>0</v>
      </c>
      <c r="BT71" s="33">
        <v>83</v>
      </c>
      <c r="BU71" s="31">
        <v>0</v>
      </c>
      <c r="BV71" s="31">
        <v>1</v>
      </c>
      <c r="BW71" s="72">
        <v>98.809523809523824</v>
      </c>
      <c r="BX71" s="25">
        <v>610.84722222222217</v>
      </c>
      <c r="BY71" s="25">
        <v>0</v>
      </c>
    </row>
    <row r="72" spans="1:77" x14ac:dyDescent="0.2">
      <c r="A72" s="2" t="s">
        <v>367</v>
      </c>
      <c r="B72" s="2" t="s">
        <v>68</v>
      </c>
      <c r="C72" s="550">
        <v>42</v>
      </c>
      <c r="D72" s="550">
        <v>0</v>
      </c>
      <c r="E72" s="550">
        <v>0</v>
      </c>
      <c r="F72" s="550">
        <v>100</v>
      </c>
      <c r="G72" s="550">
        <v>415.16666666666669</v>
      </c>
      <c r="H72" s="550" t="s">
        <v>829</v>
      </c>
      <c r="I72" s="550">
        <v>41</v>
      </c>
      <c r="J72" s="550">
        <v>0</v>
      </c>
      <c r="K72" s="550">
        <v>1</v>
      </c>
      <c r="L72" s="550">
        <v>97.619047619047635</v>
      </c>
      <c r="M72" s="550">
        <v>482</v>
      </c>
      <c r="N72" s="550" t="s">
        <v>829</v>
      </c>
      <c r="O72" s="550">
        <v>83</v>
      </c>
      <c r="P72" s="550">
        <v>0</v>
      </c>
      <c r="Q72" s="550">
        <v>1</v>
      </c>
      <c r="R72" s="550">
        <v>98.809523809523824</v>
      </c>
      <c r="S72" s="550">
        <v>448.58333333333337</v>
      </c>
      <c r="T72" s="550">
        <v>0</v>
      </c>
      <c r="V72" s="550">
        <v>42</v>
      </c>
      <c r="W72" s="550">
        <v>0</v>
      </c>
      <c r="X72" s="550">
        <v>0</v>
      </c>
      <c r="Y72" s="550">
        <v>100</v>
      </c>
      <c r="Z72" s="550">
        <v>563.08333333333337</v>
      </c>
      <c r="AA72" s="550" t="s">
        <v>829</v>
      </c>
      <c r="AB72" s="550">
        <v>42</v>
      </c>
      <c r="AC72" s="550">
        <v>0</v>
      </c>
      <c r="AD72" s="550">
        <v>0</v>
      </c>
      <c r="AE72" s="550" t="s">
        <v>830</v>
      </c>
      <c r="AF72" s="550">
        <v>472.08333333333331</v>
      </c>
      <c r="AG72" s="550" t="s">
        <v>829</v>
      </c>
      <c r="AH72" s="550">
        <v>84</v>
      </c>
      <c r="AI72" s="550">
        <v>0</v>
      </c>
      <c r="AJ72" s="550">
        <v>0</v>
      </c>
      <c r="AK72" s="550">
        <v>100</v>
      </c>
      <c r="AL72" s="550">
        <v>517.58333333333337</v>
      </c>
      <c r="AM72" s="550">
        <v>0</v>
      </c>
      <c r="AN72" s="2" t="s">
        <v>68</v>
      </c>
      <c r="AO72" s="69">
        <v>42</v>
      </c>
      <c r="AP72" s="69">
        <v>0</v>
      </c>
      <c r="AQ72" s="69">
        <v>0</v>
      </c>
      <c r="AR72" s="68">
        <v>100</v>
      </c>
      <c r="AS72" s="68">
        <v>381.41666666666669</v>
      </c>
      <c r="AT72" s="68">
        <v>0</v>
      </c>
      <c r="AU72" s="69">
        <v>42</v>
      </c>
      <c r="AV72" s="69">
        <v>0</v>
      </c>
      <c r="AW72" s="69">
        <v>0</v>
      </c>
      <c r="AX72" s="68">
        <v>100</v>
      </c>
      <c r="AY72" s="68">
        <v>412.25</v>
      </c>
      <c r="AZ72" s="68">
        <v>0</v>
      </c>
      <c r="BA72" s="69">
        <v>84</v>
      </c>
      <c r="BB72" s="69">
        <v>0</v>
      </c>
      <c r="BC72" s="69">
        <v>0</v>
      </c>
      <c r="BD72" s="68">
        <v>100</v>
      </c>
      <c r="BE72" s="68">
        <v>396.83333333333337</v>
      </c>
      <c r="BF72" s="68">
        <v>0</v>
      </c>
      <c r="BH72" s="31">
        <v>42</v>
      </c>
      <c r="BI72" s="31">
        <v>0</v>
      </c>
      <c r="BJ72" s="31">
        <v>0</v>
      </c>
      <c r="BK72" s="25">
        <v>100</v>
      </c>
      <c r="BL72" s="25">
        <v>513.66666666666663</v>
      </c>
      <c r="BM72" s="25">
        <v>0</v>
      </c>
      <c r="BN72" s="239">
        <v>41</v>
      </c>
      <c r="BO72" s="239">
        <v>1</v>
      </c>
      <c r="BP72" s="239">
        <v>0</v>
      </c>
      <c r="BQ72" s="25">
        <v>97.619047619047635</v>
      </c>
      <c r="BR72" s="25">
        <v>529.91666666666663</v>
      </c>
      <c r="BS72" s="25">
        <v>263</v>
      </c>
      <c r="BT72" s="33">
        <v>83</v>
      </c>
      <c r="BU72" s="31">
        <v>1</v>
      </c>
      <c r="BV72" s="31">
        <v>0</v>
      </c>
      <c r="BW72" s="72">
        <v>98.809523809523824</v>
      </c>
      <c r="BX72" s="25">
        <v>521.79166666666663</v>
      </c>
      <c r="BY72" s="25">
        <v>263</v>
      </c>
    </row>
    <row r="73" spans="1:77" x14ac:dyDescent="0.2">
      <c r="A73" s="2" t="s">
        <v>377</v>
      </c>
      <c r="AN73" s="2" t="s">
        <v>68</v>
      </c>
      <c r="AO73" s="69">
        <v>42</v>
      </c>
      <c r="AP73" s="69">
        <v>0</v>
      </c>
      <c r="AQ73" s="69">
        <v>0</v>
      </c>
      <c r="AR73" s="68">
        <v>100</v>
      </c>
      <c r="AS73" s="68">
        <v>463.58333333333331</v>
      </c>
      <c r="AT73" s="68">
        <v>0</v>
      </c>
      <c r="AU73" s="69">
        <v>41</v>
      </c>
      <c r="AV73" s="69">
        <v>0</v>
      </c>
      <c r="AW73" s="69">
        <v>1</v>
      </c>
      <c r="AX73" s="68">
        <v>97.619047619047635</v>
      </c>
      <c r="AY73" s="68">
        <v>465.6944444444444</v>
      </c>
      <c r="AZ73" s="68">
        <v>0</v>
      </c>
      <c r="BA73" s="69">
        <v>83</v>
      </c>
      <c r="BB73" s="69">
        <v>0</v>
      </c>
      <c r="BC73" s="69">
        <v>1</v>
      </c>
      <c r="BD73" s="68">
        <v>98.809523809523824</v>
      </c>
      <c r="BE73" s="68">
        <v>464.63888888888886</v>
      </c>
      <c r="BF73" s="68">
        <v>0</v>
      </c>
      <c r="BH73" s="31">
        <v>40</v>
      </c>
      <c r="BI73" s="31">
        <v>0</v>
      </c>
      <c r="BJ73" s="31">
        <v>2</v>
      </c>
      <c r="BK73" s="25">
        <v>95.238095238095241</v>
      </c>
      <c r="BL73" s="25">
        <v>704.91666666666663</v>
      </c>
      <c r="BM73" s="25">
        <v>0</v>
      </c>
      <c r="BN73" s="239">
        <v>38</v>
      </c>
      <c r="BO73" s="239">
        <v>0</v>
      </c>
      <c r="BP73" s="239">
        <v>4</v>
      </c>
      <c r="BQ73" s="25">
        <v>90.476190476190482</v>
      </c>
      <c r="BR73" s="25">
        <v>618.97222222222217</v>
      </c>
      <c r="BS73" s="25">
        <v>0</v>
      </c>
      <c r="BT73" s="33">
        <v>78</v>
      </c>
      <c r="BU73" s="31">
        <v>0</v>
      </c>
      <c r="BV73" s="31">
        <v>6</v>
      </c>
      <c r="BW73" s="72">
        <v>92.857142857142861</v>
      </c>
      <c r="BX73" s="25">
        <v>661.94444444444434</v>
      </c>
      <c r="BY73" s="25">
        <v>0</v>
      </c>
    </row>
    <row r="74" spans="1:77" x14ac:dyDescent="0.2">
      <c r="A74" s="2" t="s">
        <v>419</v>
      </c>
      <c r="B74" s="2" t="s">
        <v>67</v>
      </c>
      <c r="C74" s="550">
        <v>42</v>
      </c>
      <c r="D74" s="550">
        <v>0</v>
      </c>
      <c r="E74" s="550">
        <v>0</v>
      </c>
      <c r="F74" s="550">
        <v>100</v>
      </c>
      <c r="G74" s="550">
        <v>504.33333333333331</v>
      </c>
      <c r="H74" s="550" t="s">
        <v>829</v>
      </c>
      <c r="I74" s="550">
        <v>42</v>
      </c>
      <c r="J74" s="550">
        <v>0</v>
      </c>
      <c r="K74" s="550">
        <v>0</v>
      </c>
      <c r="L74" s="550">
        <v>100</v>
      </c>
      <c r="M74" s="550">
        <v>588.66666666666663</v>
      </c>
      <c r="N74" s="550" t="s">
        <v>829</v>
      </c>
      <c r="O74" s="550">
        <v>84</v>
      </c>
      <c r="P74" s="550">
        <v>0</v>
      </c>
      <c r="Q74" s="550">
        <v>0</v>
      </c>
      <c r="R74" s="550">
        <v>100</v>
      </c>
      <c r="S74" s="550">
        <v>546.5</v>
      </c>
      <c r="T74" s="550">
        <v>0</v>
      </c>
      <c r="V74" s="550">
        <v>41</v>
      </c>
      <c r="W74" s="550">
        <v>0</v>
      </c>
      <c r="X74" s="550">
        <v>1</v>
      </c>
      <c r="Y74" s="550">
        <v>97.619047619047635</v>
      </c>
      <c r="Z74" s="550">
        <v>606.08333333333337</v>
      </c>
      <c r="AA74" s="550" t="s">
        <v>829</v>
      </c>
      <c r="AB74" s="550">
        <v>42</v>
      </c>
      <c r="AC74" s="550">
        <v>0</v>
      </c>
      <c r="AD74" s="550">
        <v>0</v>
      </c>
      <c r="AE74" s="550">
        <v>100</v>
      </c>
      <c r="AF74" s="550">
        <v>568.41666666666663</v>
      </c>
      <c r="AG74" s="550" t="s">
        <v>829</v>
      </c>
      <c r="AH74" s="550">
        <v>83</v>
      </c>
      <c r="AI74" s="550">
        <v>0</v>
      </c>
      <c r="AJ74" s="550">
        <v>1</v>
      </c>
      <c r="AK74" s="550">
        <v>98.809523809523824</v>
      </c>
      <c r="AL74" s="550">
        <v>546.5</v>
      </c>
      <c r="AM74" s="550">
        <v>0</v>
      </c>
      <c r="AN74" s="2" t="s">
        <v>67</v>
      </c>
      <c r="AO74" s="69">
        <v>42</v>
      </c>
      <c r="AP74" s="69">
        <v>0</v>
      </c>
      <c r="AQ74" s="69">
        <v>0</v>
      </c>
      <c r="AR74" s="68">
        <v>100</v>
      </c>
      <c r="AS74" s="68">
        <v>526.83333333333337</v>
      </c>
      <c r="AT74" s="68">
        <v>0</v>
      </c>
      <c r="AU74" s="69">
        <v>42</v>
      </c>
      <c r="AV74" s="69">
        <v>0</v>
      </c>
      <c r="AW74" s="69">
        <v>0</v>
      </c>
      <c r="AX74" s="68">
        <v>100</v>
      </c>
      <c r="AY74" s="68">
        <v>545.66666666666663</v>
      </c>
      <c r="AZ74" s="68">
        <v>0</v>
      </c>
      <c r="BA74" s="69">
        <v>84</v>
      </c>
      <c r="BB74" s="69">
        <v>0</v>
      </c>
      <c r="BC74" s="69">
        <v>0</v>
      </c>
      <c r="BD74" s="68">
        <v>100</v>
      </c>
      <c r="BE74" s="68">
        <v>536.25</v>
      </c>
      <c r="BF74" s="68">
        <v>0</v>
      </c>
      <c r="BH74" s="31">
        <v>42</v>
      </c>
      <c r="BI74" s="31">
        <v>0</v>
      </c>
      <c r="BJ74" s="31">
        <v>0</v>
      </c>
      <c r="BK74" s="25">
        <v>100</v>
      </c>
      <c r="BL74" s="25">
        <v>567.58333333333337</v>
      </c>
      <c r="BM74" s="25">
        <v>0</v>
      </c>
      <c r="BN74" s="239">
        <v>41</v>
      </c>
      <c r="BO74" s="239">
        <v>0</v>
      </c>
      <c r="BP74" s="239">
        <v>1</v>
      </c>
      <c r="BQ74" s="25">
        <v>97.619047619047635</v>
      </c>
      <c r="BR74" s="25">
        <v>642.33333333333337</v>
      </c>
      <c r="BS74" s="25">
        <v>0</v>
      </c>
      <c r="BT74" s="33">
        <v>83</v>
      </c>
      <c r="BU74" s="31">
        <v>0</v>
      </c>
      <c r="BV74" s="31">
        <v>1</v>
      </c>
      <c r="BW74" s="72">
        <v>98.809523809523824</v>
      </c>
      <c r="BX74" s="25">
        <v>604.95833333333337</v>
      </c>
      <c r="BY74" s="25">
        <v>0</v>
      </c>
    </row>
    <row r="75" spans="1:77" x14ac:dyDescent="0.2">
      <c r="A75" s="2" t="s">
        <v>424</v>
      </c>
      <c r="AN75" s="2" t="s">
        <v>67</v>
      </c>
      <c r="AO75" s="69">
        <v>42</v>
      </c>
      <c r="AP75" s="69">
        <v>0</v>
      </c>
      <c r="AQ75" s="69">
        <v>0</v>
      </c>
      <c r="AR75" s="68">
        <v>100</v>
      </c>
      <c r="AS75" s="68">
        <v>425.66666666666669</v>
      </c>
      <c r="AT75" s="68">
        <v>0</v>
      </c>
      <c r="AU75" s="69">
        <v>42</v>
      </c>
      <c r="AV75" s="69">
        <v>0</v>
      </c>
      <c r="AW75" s="69">
        <v>0</v>
      </c>
      <c r="AX75" s="68">
        <v>100</v>
      </c>
      <c r="AY75" s="68">
        <v>395.25</v>
      </c>
      <c r="AZ75" s="68">
        <v>0</v>
      </c>
      <c r="BA75" s="69">
        <v>84</v>
      </c>
      <c r="BB75" s="69">
        <v>0</v>
      </c>
      <c r="BC75" s="69">
        <v>0</v>
      </c>
      <c r="BD75" s="68">
        <v>100</v>
      </c>
      <c r="BE75" s="68">
        <v>410.45833333333337</v>
      </c>
      <c r="BF75" s="68">
        <v>0</v>
      </c>
      <c r="BH75" s="31">
        <v>42</v>
      </c>
      <c r="BI75" s="31">
        <v>0</v>
      </c>
      <c r="BJ75" s="31">
        <v>0</v>
      </c>
      <c r="BK75" s="25">
        <v>100</v>
      </c>
      <c r="BL75" s="25">
        <v>411.66666666666669</v>
      </c>
      <c r="BM75" s="25">
        <v>0</v>
      </c>
      <c r="BN75" s="239">
        <v>38</v>
      </c>
      <c r="BO75" s="239">
        <v>2</v>
      </c>
      <c r="BP75" s="239">
        <v>2</v>
      </c>
      <c r="BQ75" s="25">
        <v>90.476190476190482</v>
      </c>
      <c r="BR75" s="25">
        <v>478.33333333333331</v>
      </c>
      <c r="BS75" s="25">
        <v>548</v>
      </c>
      <c r="BT75" s="33">
        <v>80</v>
      </c>
      <c r="BU75" s="31">
        <v>2</v>
      </c>
      <c r="BV75" s="31">
        <v>2</v>
      </c>
      <c r="BW75" s="72">
        <v>95.238095238095241</v>
      </c>
      <c r="BX75" s="25">
        <v>445</v>
      </c>
      <c r="BY75" s="25">
        <v>548</v>
      </c>
    </row>
    <row r="76" spans="1:77" x14ac:dyDescent="0.2">
      <c r="A76" s="2" t="s">
        <v>443</v>
      </c>
      <c r="B76" s="2" t="s">
        <v>68</v>
      </c>
      <c r="C76" s="550">
        <v>42</v>
      </c>
      <c r="D76" s="550">
        <v>0</v>
      </c>
      <c r="E76" s="550">
        <v>0</v>
      </c>
      <c r="F76" s="550">
        <v>100</v>
      </c>
      <c r="G76" s="550">
        <v>448.16666666666669</v>
      </c>
      <c r="H76" s="550" t="s">
        <v>829</v>
      </c>
      <c r="I76" s="550">
        <v>42</v>
      </c>
      <c r="J76" s="550">
        <v>0</v>
      </c>
      <c r="K76" s="550">
        <v>0</v>
      </c>
      <c r="L76" s="550">
        <v>100</v>
      </c>
      <c r="M76" s="550">
        <v>495.33333333333331</v>
      </c>
      <c r="N76" s="550" t="s">
        <v>829</v>
      </c>
      <c r="O76" s="550">
        <v>84</v>
      </c>
      <c r="P76" s="550">
        <v>0</v>
      </c>
      <c r="Q76" s="550">
        <v>0</v>
      </c>
      <c r="R76" s="550">
        <v>100</v>
      </c>
      <c r="S76" s="550">
        <v>471.75</v>
      </c>
      <c r="T76" s="550">
        <v>0</v>
      </c>
      <c r="V76" s="550">
        <v>42</v>
      </c>
      <c r="W76" s="550">
        <v>0</v>
      </c>
      <c r="X76" s="550">
        <v>0</v>
      </c>
      <c r="Y76" s="550">
        <v>100</v>
      </c>
      <c r="Z76" s="550">
        <v>647.16666666666663</v>
      </c>
      <c r="AA76" s="550" t="s">
        <v>829</v>
      </c>
      <c r="AB76" s="550">
        <v>41</v>
      </c>
      <c r="AC76" s="550">
        <v>0</v>
      </c>
      <c r="AD76" s="550">
        <v>1</v>
      </c>
      <c r="AE76" s="550">
        <v>97.619047619047635</v>
      </c>
      <c r="AF76" s="550">
        <v>498.9444444444444</v>
      </c>
      <c r="AG76" s="550" t="s">
        <v>829</v>
      </c>
      <c r="AH76" s="550">
        <v>83</v>
      </c>
      <c r="AI76" s="550">
        <v>0</v>
      </c>
      <c r="AJ76" s="550">
        <v>1</v>
      </c>
      <c r="AK76" s="550">
        <v>98.809523809523824</v>
      </c>
      <c r="AL76" s="550">
        <v>573.05555555555554</v>
      </c>
      <c r="AM76" s="550">
        <v>0</v>
      </c>
      <c r="AN76" s="2" t="s">
        <v>68</v>
      </c>
      <c r="AO76" s="69">
        <v>42</v>
      </c>
      <c r="AP76" s="69">
        <v>0</v>
      </c>
      <c r="AQ76" s="69">
        <v>0</v>
      </c>
      <c r="AR76" s="68">
        <v>100</v>
      </c>
      <c r="AS76" s="68">
        <v>465.5</v>
      </c>
      <c r="AT76" s="68">
        <v>0</v>
      </c>
      <c r="AU76" s="69">
        <v>42</v>
      </c>
      <c r="AV76" s="69">
        <v>0</v>
      </c>
      <c r="AW76" s="69">
        <v>0</v>
      </c>
      <c r="AX76" s="68">
        <v>100</v>
      </c>
      <c r="AY76" s="68">
        <v>469.41666666666669</v>
      </c>
      <c r="AZ76" s="68">
        <v>0</v>
      </c>
      <c r="BA76" s="69">
        <v>84</v>
      </c>
      <c r="BB76" s="69">
        <v>0</v>
      </c>
      <c r="BC76" s="69">
        <v>0</v>
      </c>
      <c r="BD76" s="68">
        <v>100</v>
      </c>
      <c r="BE76" s="68">
        <v>467.45833333333337</v>
      </c>
      <c r="BF76" s="68">
        <v>0</v>
      </c>
      <c r="BH76" s="31">
        <v>41</v>
      </c>
      <c r="BI76" s="31">
        <v>1</v>
      </c>
      <c r="BJ76" s="31">
        <v>0</v>
      </c>
      <c r="BK76" s="25">
        <v>97.619047619047635</v>
      </c>
      <c r="BL76" s="25">
        <v>502.91666666666669</v>
      </c>
      <c r="BM76" s="25">
        <v>777</v>
      </c>
      <c r="BN76" s="239">
        <v>41</v>
      </c>
      <c r="BO76" s="239">
        <v>0</v>
      </c>
      <c r="BP76" s="239">
        <v>1</v>
      </c>
      <c r="BQ76" s="25">
        <v>97.619047619047635</v>
      </c>
      <c r="BR76" s="25">
        <v>555.3611111111112</v>
      </c>
      <c r="BS76" s="25">
        <v>0</v>
      </c>
      <c r="BT76" s="33">
        <v>82</v>
      </c>
      <c r="BU76" s="31">
        <v>1</v>
      </c>
      <c r="BV76" s="31">
        <v>1</v>
      </c>
      <c r="BW76" s="72">
        <v>97.619047619047635</v>
      </c>
      <c r="BX76" s="25">
        <v>529.13888888888891</v>
      </c>
      <c r="BY76" s="25">
        <v>777</v>
      </c>
    </row>
    <row r="77" spans="1:77" x14ac:dyDescent="0.2">
      <c r="A77" s="2" t="s">
        <v>446</v>
      </c>
      <c r="B77" s="2" t="s">
        <v>68</v>
      </c>
      <c r="C77" s="550">
        <v>42</v>
      </c>
      <c r="D77" s="550">
        <v>0</v>
      </c>
      <c r="E77" s="550">
        <v>0</v>
      </c>
      <c r="F77" s="550">
        <v>100</v>
      </c>
      <c r="G77" s="550">
        <v>426.75</v>
      </c>
      <c r="H77" s="550" t="s">
        <v>829</v>
      </c>
      <c r="I77" s="550">
        <v>42</v>
      </c>
      <c r="J77" s="550">
        <v>0</v>
      </c>
      <c r="K77" s="550">
        <v>0</v>
      </c>
      <c r="L77" s="550">
        <v>100</v>
      </c>
      <c r="M77" s="550">
        <v>452.66666666666669</v>
      </c>
      <c r="N77" s="550" t="s">
        <v>829</v>
      </c>
      <c r="O77" s="550">
        <v>84</v>
      </c>
      <c r="P77" s="550">
        <v>0</v>
      </c>
      <c r="Q77" s="550">
        <v>0</v>
      </c>
      <c r="R77" s="550">
        <v>100</v>
      </c>
      <c r="S77" s="550">
        <v>439.70833333333337</v>
      </c>
      <c r="T77" s="550">
        <v>0</v>
      </c>
      <c r="V77" s="550">
        <v>42</v>
      </c>
      <c r="W77" s="550">
        <v>0</v>
      </c>
      <c r="X77" s="550">
        <v>0</v>
      </c>
      <c r="Y77" s="550">
        <v>100</v>
      </c>
      <c r="Z77" s="550">
        <v>465.58333333333331</v>
      </c>
      <c r="AA77" s="550" t="s">
        <v>829</v>
      </c>
      <c r="AB77" s="550">
        <v>42</v>
      </c>
      <c r="AC77" s="550">
        <v>0</v>
      </c>
      <c r="AD77" s="550">
        <v>0</v>
      </c>
      <c r="AE77" s="550">
        <v>100</v>
      </c>
      <c r="AF77" s="550">
        <v>467.5</v>
      </c>
      <c r="AG77" s="550" t="s">
        <v>829</v>
      </c>
      <c r="AH77" s="550">
        <v>84</v>
      </c>
      <c r="AI77" s="550">
        <v>0</v>
      </c>
      <c r="AJ77" s="550">
        <v>0</v>
      </c>
      <c r="AK77" s="550">
        <v>100</v>
      </c>
      <c r="AL77" s="550">
        <v>466.54166666666663</v>
      </c>
      <c r="AM77" s="550">
        <v>0</v>
      </c>
      <c r="AN77" s="2" t="s">
        <v>68</v>
      </c>
      <c r="AO77" s="69">
        <v>41</v>
      </c>
      <c r="AP77" s="69">
        <v>1</v>
      </c>
      <c r="AQ77" s="69">
        <v>0</v>
      </c>
      <c r="AR77" s="68">
        <v>97.619047619047635</v>
      </c>
      <c r="AS77" s="68">
        <v>437.5</v>
      </c>
      <c r="AT77" s="68">
        <v>347</v>
      </c>
      <c r="AU77" s="69">
        <v>42</v>
      </c>
      <c r="AV77" s="69">
        <v>0</v>
      </c>
      <c r="AW77" s="69">
        <v>0</v>
      </c>
      <c r="AX77" s="68">
        <v>100</v>
      </c>
      <c r="AY77" s="68">
        <v>494.91666666666669</v>
      </c>
      <c r="AZ77" s="68">
        <v>0</v>
      </c>
      <c r="BA77" s="69">
        <v>83</v>
      </c>
      <c r="BB77" s="69">
        <v>1</v>
      </c>
      <c r="BC77" s="69">
        <v>0</v>
      </c>
      <c r="BD77" s="68">
        <v>98.809523809523824</v>
      </c>
      <c r="BE77" s="68">
        <v>466.20833333333337</v>
      </c>
      <c r="BF77" s="68">
        <v>347</v>
      </c>
      <c r="BH77" s="31">
        <v>40</v>
      </c>
      <c r="BI77" s="31">
        <v>0</v>
      </c>
      <c r="BJ77" s="31">
        <v>2</v>
      </c>
      <c r="BK77" s="25">
        <v>95.238095238095241</v>
      </c>
      <c r="BL77" s="25">
        <v>595.3611111111112</v>
      </c>
      <c r="BM77" s="25">
        <v>0</v>
      </c>
      <c r="BN77" s="239">
        <v>42</v>
      </c>
      <c r="BO77" s="239">
        <v>0</v>
      </c>
      <c r="BP77" s="239">
        <v>0</v>
      </c>
      <c r="BQ77" s="25">
        <v>100</v>
      </c>
      <c r="BR77" s="25">
        <v>507.66666666666669</v>
      </c>
      <c r="BS77" s="25">
        <v>0</v>
      </c>
      <c r="BT77" s="33">
        <v>82</v>
      </c>
      <c r="BU77" s="31">
        <v>0</v>
      </c>
      <c r="BV77" s="31">
        <v>2</v>
      </c>
      <c r="BW77" s="72">
        <v>97.61904761904762</v>
      </c>
      <c r="BX77" s="25">
        <v>551.51388888888891</v>
      </c>
      <c r="BY77" s="25">
        <v>0</v>
      </c>
    </row>
    <row r="78" spans="1:77" x14ac:dyDescent="0.2">
      <c r="A78" s="2" t="s">
        <v>465</v>
      </c>
      <c r="B78" s="2" t="s">
        <v>67</v>
      </c>
      <c r="C78" s="550">
        <v>40</v>
      </c>
      <c r="D78" s="550">
        <v>1</v>
      </c>
      <c r="E78" s="550">
        <v>1</v>
      </c>
      <c r="F78" s="550">
        <v>95.238095238095241</v>
      </c>
      <c r="G78" s="550">
        <v>385.41666666666669</v>
      </c>
      <c r="H78" s="550">
        <v>340</v>
      </c>
      <c r="I78" s="550">
        <v>42</v>
      </c>
      <c r="J78" s="550">
        <v>0</v>
      </c>
      <c r="K78" s="550">
        <v>0</v>
      </c>
      <c r="L78" s="550">
        <v>100</v>
      </c>
      <c r="M78" s="550">
        <v>481.16666666666669</v>
      </c>
      <c r="N78" s="550" t="s">
        <v>829</v>
      </c>
      <c r="O78" s="550">
        <v>82</v>
      </c>
      <c r="P78" s="550">
        <v>1</v>
      </c>
      <c r="Q78" s="550">
        <v>1</v>
      </c>
      <c r="R78" s="550">
        <v>97.61904761904762</v>
      </c>
      <c r="S78" s="550">
        <v>433.29166666666669</v>
      </c>
      <c r="T78" s="550">
        <v>340</v>
      </c>
      <c r="V78" s="550">
        <v>42</v>
      </c>
      <c r="W78" s="550">
        <v>0</v>
      </c>
      <c r="X78" s="550">
        <v>0</v>
      </c>
      <c r="Y78" s="550">
        <v>100</v>
      </c>
      <c r="Z78" s="550">
        <v>399.25</v>
      </c>
      <c r="AA78" s="550" t="s">
        <v>829</v>
      </c>
      <c r="AB78" s="550">
        <v>42</v>
      </c>
      <c r="AC78" s="550">
        <v>0</v>
      </c>
      <c r="AD78" s="550">
        <v>0</v>
      </c>
      <c r="AE78" s="550">
        <v>100</v>
      </c>
      <c r="AF78" s="550">
        <v>457.75</v>
      </c>
      <c r="AG78" s="550" t="s">
        <v>829</v>
      </c>
      <c r="AH78" s="550">
        <v>84</v>
      </c>
      <c r="AI78" s="550">
        <v>0</v>
      </c>
      <c r="AJ78" s="550">
        <v>0</v>
      </c>
      <c r="AK78" s="550">
        <v>100</v>
      </c>
      <c r="AL78" s="550">
        <v>428.5</v>
      </c>
      <c r="AM78" s="550">
        <v>0</v>
      </c>
      <c r="AN78" s="2" t="s">
        <v>67</v>
      </c>
      <c r="AO78" s="69">
        <v>42</v>
      </c>
      <c r="AP78" s="69">
        <v>0</v>
      </c>
      <c r="AQ78" s="69">
        <v>0</v>
      </c>
      <c r="AR78" s="68">
        <v>100</v>
      </c>
      <c r="AS78" s="68">
        <v>497.75</v>
      </c>
      <c r="AT78" s="68">
        <v>0</v>
      </c>
      <c r="AU78" s="69">
        <v>42</v>
      </c>
      <c r="AV78" s="69">
        <v>0</v>
      </c>
      <c r="AW78" s="69">
        <v>0</v>
      </c>
      <c r="AX78" s="68">
        <v>100</v>
      </c>
      <c r="AY78" s="68">
        <v>510.58333333333331</v>
      </c>
      <c r="AZ78" s="68">
        <v>0</v>
      </c>
      <c r="BA78" s="69">
        <v>84</v>
      </c>
      <c r="BB78" s="69">
        <v>0</v>
      </c>
      <c r="BC78" s="69">
        <v>0</v>
      </c>
      <c r="BD78" s="68">
        <v>100</v>
      </c>
      <c r="BE78" s="68">
        <v>504.16666666666663</v>
      </c>
      <c r="BF78" s="68">
        <v>0</v>
      </c>
      <c r="BH78" s="31">
        <v>42</v>
      </c>
      <c r="BI78" s="31">
        <v>0</v>
      </c>
      <c r="BJ78" s="31">
        <v>0</v>
      </c>
      <c r="BK78" s="25">
        <v>100</v>
      </c>
      <c r="BL78" s="25">
        <v>427.41666666666669</v>
      </c>
      <c r="BM78" s="25">
        <v>0</v>
      </c>
      <c r="BN78" s="239">
        <v>41</v>
      </c>
      <c r="BO78" s="239">
        <v>0</v>
      </c>
      <c r="BP78" s="239">
        <v>1</v>
      </c>
      <c r="BQ78" s="25">
        <v>97.619047619047635</v>
      </c>
      <c r="BR78" s="25">
        <v>556.83333333333337</v>
      </c>
      <c r="BS78" s="25">
        <v>0</v>
      </c>
      <c r="BT78" s="33">
        <v>83</v>
      </c>
      <c r="BU78" s="31">
        <v>0</v>
      </c>
      <c r="BV78" s="31">
        <v>1</v>
      </c>
      <c r="BW78" s="72">
        <v>98.809523809523824</v>
      </c>
      <c r="BX78" s="25">
        <v>492.125</v>
      </c>
      <c r="BY78" s="25">
        <v>0</v>
      </c>
    </row>
    <row r="79" spans="1:77" x14ac:dyDescent="0.2">
      <c r="A79" s="2" t="s">
        <v>487</v>
      </c>
      <c r="B79" s="2" t="s">
        <v>67</v>
      </c>
      <c r="C79" s="550">
        <v>40</v>
      </c>
      <c r="D79" s="550">
        <v>1</v>
      </c>
      <c r="E79" s="550">
        <v>1</v>
      </c>
      <c r="F79" s="550">
        <v>95.238095238095241</v>
      </c>
      <c r="G79" s="550">
        <v>452.9444444444444</v>
      </c>
      <c r="H79" s="550">
        <v>419</v>
      </c>
      <c r="I79" s="550">
        <v>42</v>
      </c>
      <c r="J79" s="550">
        <v>0</v>
      </c>
      <c r="K79" s="550">
        <v>0</v>
      </c>
      <c r="L79" s="550">
        <v>100</v>
      </c>
      <c r="M79" s="550">
        <v>464.91666666666669</v>
      </c>
      <c r="N79" s="550" t="s">
        <v>829</v>
      </c>
      <c r="O79" s="550">
        <v>82</v>
      </c>
      <c r="P79" s="550">
        <v>1</v>
      </c>
      <c r="Q79" s="550">
        <v>1</v>
      </c>
      <c r="R79" s="550">
        <v>97.61904761904762</v>
      </c>
      <c r="S79" s="550">
        <v>458.93055555555554</v>
      </c>
      <c r="T79" s="550">
        <v>419</v>
      </c>
      <c r="V79" s="550">
        <v>39</v>
      </c>
      <c r="W79" s="550">
        <v>1</v>
      </c>
      <c r="X79" s="550">
        <v>2</v>
      </c>
      <c r="Y79" s="550">
        <v>92.857142857142847</v>
      </c>
      <c r="Z79" s="550">
        <v>574.91666666666663</v>
      </c>
      <c r="AA79" s="550">
        <v>722</v>
      </c>
      <c r="AB79" s="550">
        <v>41</v>
      </c>
      <c r="AC79" s="550">
        <v>0</v>
      </c>
      <c r="AD79" s="550">
        <v>1</v>
      </c>
      <c r="AE79" s="550">
        <v>97.619047619047635</v>
      </c>
      <c r="AF79" s="550">
        <v>449.58333333333331</v>
      </c>
      <c r="AG79" s="550" t="s">
        <v>829</v>
      </c>
      <c r="AH79" s="550">
        <v>80</v>
      </c>
      <c r="AI79" s="550">
        <v>1</v>
      </c>
      <c r="AJ79" s="550">
        <v>3</v>
      </c>
      <c r="AK79" s="550">
        <v>95.238095238095241</v>
      </c>
      <c r="AL79" s="550">
        <v>512.25</v>
      </c>
      <c r="AM79" s="550">
        <v>722</v>
      </c>
      <c r="AN79" s="2" t="s">
        <v>67</v>
      </c>
      <c r="AO79" s="69">
        <v>42</v>
      </c>
      <c r="AP79" s="69">
        <v>0</v>
      </c>
      <c r="AQ79" s="69">
        <v>0</v>
      </c>
      <c r="AR79" s="68">
        <v>100</v>
      </c>
      <c r="AS79" s="68">
        <v>412.66666666666669</v>
      </c>
      <c r="AT79" s="68">
        <v>0</v>
      </c>
      <c r="AU79" s="69">
        <v>42</v>
      </c>
      <c r="AV79" s="69">
        <v>0</v>
      </c>
      <c r="AW79" s="69">
        <v>0</v>
      </c>
      <c r="AX79" s="68">
        <v>100</v>
      </c>
      <c r="AY79" s="68">
        <v>440.33333333333331</v>
      </c>
      <c r="AZ79" s="68">
        <v>0</v>
      </c>
      <c r="BA79" s="69">
        <v>84</v>
      </c>
      <c r="BB79" s="69">
        <v>0</v>
      </c>
      <c r="BC79" s="69">
        <v>0</v>
      </c>
      <c r="BD79" s="68">
        <v>100</v>
      </c>
      <c r="BE79" s="68">
        <v>426.5</v>
      </c>
      <c r="BF79" s="68">
        <v>0</v>
      </c>
      <c r="BH79" s="31">
        <v>41</v>
      </c>
      <c r="BI79" s="31">
        <v>1</v>
      </c>
      <c r="BJ79" s="31">
        <v>0</v>
      </c>
      <c r="BK79" s="25">
        <v>97.619047619047635</v>
      </c>
      <c r="BL79" s="25">
        <v>510.75</v>
      </c>
      <c r="BM79" s="25">
        <v>624</v>
      </c>
      <c r="BN79" s="239">
        <v>41</v>
      </c>
      <c r="BO79" s="239">
        <v>1</v>
      </c>
      <c r="BP79" s="239">
        <v>0</v>
      </c>
      <c r="BQ79" s="25">
        <v>97.619047619047635</v>
      </c>
      <c r="BR79" s="25">
        <v>540.75</v>
      </c>
      <c r="BS79" s="25">
        <v>974</v>
      </c>
      <c r="BT79" s="33">
        <v>82</v>
      </c>
      <c r="BU79" s="31">
        <v>2</v>
      </c>
      <c r="BV79" s="31">
        <v>0</v>
      </c>
      <c r="BW79" s="72">
        <v>97.619047619047635</v>
      </c>
      <c r="BX79" s="25">
        <v>525.75</v>
      </c>
      <c r="BY79" s="25">
        <v>799</v>
      </c>
    </row>
    <row r="80" spans="1:77" x14ac:dyDescent="0.2">
      <c r="A80" s="2" t="s">
        <v>490</v>
      </c>
      <c r="B80" s="2" t="s">
        <v>68</v>
      </c>
      <c r="C80" s="550">
        <v>42</v>
      </c>
      <c r="D80" s="550">
        <v>0</v>
      </c>
      <c r="E80" s="550">
        <v>0</v>
      </c>
      <c r="F80" s="550">
        <v>100</v>
      </c>
      <c r="G80" s="550">
        <v>433.91666666666669</v>
      </c>
      <c r="H80" s="550" t="s">
        <v>829</v>
      </c>
      <c r="I80" s="550">
        <v>42</v>
      </c>
      <c r="J80" s="550">
        <v>0</v>
      </c>
      <c r="K80" s="550">
        <v>0</v>
      </c>
      <c r="L80" s="550">
        <v>100</v>
      </c>
      <c r="M80" s="550">
        <v>382.66666666666669</v>
      </c>
      <c r="N80" s="550" t="s">
        <v>829</v>
      </c>
      <c r="O80" s="550">
        <v>84</v>
      </c>
      <c r="P80" s="550">
        <v>0</v>
      </c>
      <c r="Q80" s="550">
        <v>0</v>
      </c>
      <c r="R80" s="550">
        <v>100</v>
      </c>
      <c r="S80" s="550">
        <v>408.29166666666669</v>
      </c>
      <c r="T80" s="550">
        <v>0</v>
      </c>
      <c r="V80" s="550">
        <v>42</v>
      </c>
      <c r="W80" s="550">
        <v>0</v>
      </c>
      <c r="X80" s="550">
        <v>0</v>
      </c>
      <c r="Y80" s="550">
        <v>100</v>
      </c>
      <c r="Z80" s="550">
        <v>397.08333333333331</v>
      </c>
      <c r="AA80" s="550" t="s">
        <v>829</v>
      </c>
      <c r="AB80" s="550">
        <v>42</v>
      </c>
      <c r="AC80" s="550">
        <v>0</v>
      </c>
      <c r="AD80" s="550">
        <v>0</v>
      </c>
      <c r="AE80" s="550">
        <v>100</v>
      </c>
      <c r="AF80" s="550">
        <v>399</v>
      </c>
      <c r="AG80" s="550" t="s">
        <v>829</v>
      </c>
      <c r="AH80" s="550">
        <v>84</v>
      </c>
      <c r="AI80" s="550">
        <v>0</v>
      </c>
      <c r="AJ80" s="550">
        <v>0</v>
      </c>
      <c r="AK80" s="550">
        <v>100</v>
      </c>
      <c r="AL80" s="550">
        <v>398.04166666666663</v>
      </c>
      <c r="AM80" s="550">
        <v>0</v>
      </c>
      <c r="AN80" s="2" t="s">
        <v>68</v>
      </c>
      <c r="AO80" s="69">
        <v>42</v>
      </c>
      <c r="AP80" s="69">
        <v>0</v>
      </c>
      <c r="AQ80" s="69">
        <v>0</v>
      </c>
      <c r="AR80" s="68">
        <v>100</v>
      </c>
      <c r="AS80" s="68">
        <v>480.58333333333331</v>
      </c>
      <c r="AT80" s="68">
        <v>0</v>
      </c>
      <c r="AU80" s="69">
        <v>42</v>
      </c>
      <c r="AV80" s="69">
        <v>0</v>
      </c>
      <c r="AW80" s="69">
        <v>0</v>
      </c>
      <c r="AX80" s="68">
        <v>100</v>
      </c>
      <c r="AY80" s="68">
        <v>492.75</v>
      </c>
      <c r="AZ80" s="68">
        <v>0</v>
      </c>
      <c r="BA80" s="69">
        <v>84</v>
      </c>
      <c r="BB80" s="69">
        <v>0</v>
      </c>
      <c r="BC80" s="69">
        <v>0</v>
      </c>
      <c r="BD80" s="68">
        <v>100</v>
      </c>
      <c r="BE80" s="68">
        <v>486.66666666666663</v>
      </c>
      <c r="BF80" s="68">
        <v>0</v>
      </c>
      <c r="BH80" s="31">
        <v>41</v>
      </c>
      <c r="BI80" s="31">
        <v>0</v>
      </c>
      <c r="BJ80" s="31">
        <v>1</v>
      </c>
      <c r="BK80" s="25">
        <v>97.619047619047635</v>
      </c>
      <c r="BL80" s="25">
        <v>498.63888888888886</v>
      </c>
      <c r="BM80" s="25">
        <v>0</v>
      </c>
      <c r="BN80" s="239">
        <v>40</v>
      </c>
      <c r="BO80" s="239">
        <v>0</v>
      </c>
      <c r="BP80" s="239">
        <v>2</v>
      </c>
      <c r="BQ80" s="25">
        <v>95.238095238095241</v>
      </c>
      <c r="BR80" s="25">
        <v>588.66666666666663</v>
      </c>
      <c r="BS80" s="25">
        <v>0</v>
      </c>
      <c r="BT80" s="33">
        <v>81</v>
      </c>
      <c r="BU80" s="31">
        <v>0</v>
      </c>
      <c r="BV80" s="31">
        <v>3</v>
      </c>
      <c r="BW80" s="72">
        <v>96.428571428571445</v>
      </c>
      <c r="BX80" s="25">
        <v>543.65277777777771</v>
      </c>
      <c r="BY80" s="25">
        <v>0</v>
      </c>
    </row>
    <row r="81" spans="1:77" x14ac:dyDescent="0.2">
      <c r="A81" s="2" t="s">
        <v>498</v>
      </c>
      <c r="B81" s="2" t="s">
        <v>68</v>
      </c>
      <c r="C81" s="550">
        <v>42</v>
      </c>
      <c r="D81" s="550">
        <v>0</v>
      </c>
      <c r="E81" s="550">
        <v>0</v>
      </c>
      <c r="F81" s="550">
        <v>100</v>
      </c>
      <c r="G81" s="550">
        <v>433.08333333333331</v>
      </c>
      <c r="H81" s="550" t="s">
        <v>829</v>
      </c>
      <c r="I81" s="550">
        <v>42</v>
      </c>
      <c r="J81" s="550">
        <v>0</v>
      </c>
      <c r="K81" s="550">
        <v>0</v>
      </c>
      <c r="L81" s="550">
        <v>100</v>
      </c>
      <c r="M81" s="550">
        <v>417.41666666666669</v>
      </c>
      <c r="N81" s="550" t="s">
        <v>829</v>
      </c>
      <c r="O81" s="550">
        <v>84</v>
      </c>
      <c r="P81" s="550">
        <v>0</v>
      </c>
      <c r="Q81" s="550">
        <v>0</v>
      </c>
      <c r="R81" s="550">
        <v>100</v>
      </c>
      <c r="S81" s="550">
        <v>441.95833333333337</v>
      </c>
      <c r="T81" s="550">
        <v>0</v>
      </c>
      <c r="V81" s="550">
        <v>42</v>
      </c>
      <c r="W81" s="550">
        <v>0</v>
      </c>
      <c r="X81" s="550">
        <v>0</v>
      </c>
      <c r="Y81" s="550">
        <v>100</v>
      </c>
      <c r="Z81" s="550">
        <v>389.33333333333331</v>
      </c>
      <c r="AA81" s="550" t="s">
        <v>829</v>
      </c>
      <c r="AB81" s="550">
        <v>42</v>
      </c>
      <c r="AC81" s="550">
        <v>0</v>
      </c>
      <c r="AD81" s="550">
        <v>0</v>
      </c>
      <c r="AE81" s="550">
        <v>100</v>
      </c>
      <c r="AF81" s="550">
        <v>381.08333333333331</v>
      </c>
      <c r="AG81" s="550" t="s">
        <v>829</v>
      </c>
      <c r="AH81" s="550">
        <v>84</v>
      </c>
      <c r="AI81" s="550">
        <v>0</v>
      </c>
      <c r="AJ81" s="550">
        <v>0</v>
      </c>
      <c r="AK81" s="550">
        <v>100</v>
      </c>
      <c r="AL81" s="550">
        <v>385.20833333333331</v>
      </c>
      <c r="AM81" s="550">
        <v>0</v>
      </c>
      <c r="AN81" s="2" t="s">
        <v>68</v>
      </c>
      <c r="AO81" s="69">
        <v>42</v>
      </c>
      <c r="AP81" s="69">
        <v>0</v>
      </c>
      <c r="AQ81" s="69">
        <v>0</v>
      </c>
      <c r="AR81" s="68">
        <v>100</v>
      </c>
      <c r="AS81" s="68">
        <v>456.08333333333331</v>
      </c>
      <c r="AT81" s="68">
        <v>0</v>
      </c>
      <c r="AU81" s="69">
        <v>42</v>
      </c>
      <c r="AV81" s="69">
        <v>0</v>
      </c>
      <c r="AW81" s="69">
        <v>0</v>
      </c>
      <c r="AX81" s="68">
        <v>100</v>
      </c>
      <c r="AY81" s="68">
        <v>523.25</v>
      </c>
      <c r="AZ81" s="68">
        <v>0</v>
      </c>
      <c r="BA81" s="69">
        <v>84</v>
      </c>
      <c r="BB81" s="69">
        <v>0</v>
      </c>
      <c r="BC81" s="69">
        <v>0</v>
      </c>
      <c r="BD81" s="68">
        <v>100</v>
      </c>
      <c r="BE81" s="68">
        <v>489.66666666666663</v>
      </c>
      <c r="BF81" s="68">
        <v>0</v>
      </c>
      <c r="BH81" s="31">
        <v>42</v>
      </c>
      <c r="BI81" s="31">
        <v>0</v>
      </c>
      <c r="BJ81" s="31">
        <v>0</v>
      </c>
      <c r="BK81" s="25">
        <v>100</v>
      </c>
      <c r="BL81" s="25">
        <v>493.08333333333331</v>
      </c>
      <c r="BM81" s="25">
        <v>0</v>
      </c>
      <c r="BN81" s="239">
        <v>42</v>
      </c>
      <c r="BO81" s="239">
        <v>0</v>
      </c>
      <c r="BP81" s="239">
        <v>0</v>
      </c>
      <c r="BQ81" s="25">
        <v>100</v>
      </c>
      <c r="BR81" s="25">
        <v>463.83333333333331</v>
      </c>
      <c r="BS81" s="25">
        <v>0</v>
      </c>
      <c r="BT81" s="33">
        <v>84</v>
      </c>
      <c r="BU81" s="31">
        <v>0</v>
      </c>
      <c r="BV81" s="31">
        <v>0</v>
      </c>
      <c r="BW81" s="72">
        <v>100</v>
      </c>
      <c r="BX81" s="25">
        <v>478.45833333333331</v>
      </c>
      <c r="BY81" s="25">
        <v>0</v>
      </c>
    </row>
    <row r="82" spans="1:77" x14ac:dyDescent="0.2">
      <c r="A82" s="2" t="s">
        <v>509</v>
      </c>
      <c r="B82" s="2" t="s">
        <v>67</v>
      </c>
      <c r="C82" s="550">
        <v>42</v>
      </c>
      <c r="D82" s="550">
        <v>0</v>
      </c>
      <c r="E82" s="550">
        <v>0</v>
      </c>
      <c r="F82" s="550">
        <v>100</v>
      </c>
      <c r="G82" s="550">
        <v>501</v>
      </c>
      <c r="H82" s="550" t="s">
        <v>829</v>
      </c>
      <c r="I82" s="550">
        <v>42</v>
      </c>
      <c r="J82" s="550">
        <v>0</v>
      </c>
      <c r="K82" s="550">
        <v>0</v>
      </c>
      <c r="L82" s="550">
        <v>100</v>
      </c>
      <c r="M82" s="550">
        <v>493.41666666666669</v>
      </c>
      <c r="N82" s="550" t="s">
        <v>829</v>
      </c>
      <c r="O82" s="550">
        <v>84</v>
      </c>
      <c r="P82" s="550">
        <v>0</v>
      </c>
      <c r="Q82" s="550">
        <v>0</v>
      </c>
      <c r="R82" s="550">
        <v>100</v>
      </c>
      <c r="S82" s="550">
        <v>497.20833333333337</v>
      </c>
      <c r="T82" s="550">
        <v>0</v>
      </c>
      <c r="V82" s="550">
        <v>42</v>
      </c>
      <c r="W82" s="550">
        <v>0</v>
      </c>
      <c r="X82" s="550">
        <v>0</v>
      </c>
      <c r="Y82" s="550">
        <v>100</v>
      </c>
      <c r="Z82" s="550">
        <v>481.16666666666669</v>
      </c>
      <c r="AA82" s="550" t="s">
        <v>829</v>
      </c>
      <c r="AB82" s="550">
        <v>42</v>
      </c>
      <c r="AC82" s="550">
        <v>0</v>
      </c>
      <c r="AD82" s="550">
        <v>0</v>
      </c>
      <c r="AE82" s="550">
        <v>100</v>
      </c>
      <c r="AF82" s="550">
        <v>624.58333333333337</v>
      </c>
      <c r="AG82" s="550" t="s">
        <v>829</v>
      </c>
      <c r="AH82" s="550">
        <v>84</v>
      </c>
      <c r="AI82" s="550">
        <v>0</v>
      </c>
      <c r="AJ82" s="550">
        <v>0</v>
      </c>
      <c r="AK82" s="550">
        <v>100</v>
      </c>
      <c r="AL82" s="550">
        <v>552.875</v>
      </c>
      <c r="AM82" s="550">
        <v>0</v>
      </c>
      <c r="AN82" s="2" t="s">
        <v>67</v>
      </c>
      <c r="AO82" s="69">
        <v>42</v>
      </c>
      <c r="AP82" s="69">
        <v>0</v>
      </c>
      <c r="AQ82" s="69">
        <v>0</v>
      </c>
      <c r="AR82" s="68">
        <v>100</v>
      </c>
      <c r="AS82" s="68">
        <v>462.66666666666669</v>
      </c>
      <c r="AT82" s="68">
        <v>0</v>
      </c>
      <c r="AU82" s="69">
        <v>42</v>
      </c>
      <c r="AV82" s="69">
        <v>0</v>
      </c>
      <c r="AW82" s="69">
        <v>0</v>
      </c>
      <c r="AX82" s="68">
        <v>100</v>
      </c>
      <c r="AY82" s="68">
        <v>472.16666666666669</v>
      </c>
      <c r="AZ82" s="68">
        <v>0</v>
      </c>
      <c r="BA82" s="69">
        <v>84</v>
      </c>
      <c r="BB82" s="69">
        <v>0</v>
      </c>
      <c r="BC82" s="69">
        <v>0</v>
      </c>
      <c r="BD82" s="68">
        <v>100</v>
      </c>
      <c r="BE82" s="68">
        <v>467.41666666666669</v>
      </c>
      <c r="BF82" s="68">
        <v>0</v>
      </c>
      <c r="BH82" s="31">
        <v>41</v>
      </c>
      <c r="BI82" s="31">
        <v>1</v>
      </c>
      <c r="BJ82" s="31">
        <v>0</v>
      </c>
      <c r="BK82" s="25">
        <v>97.619047619047635</v>
      </c>
      <c r="BL82" s="25">
        <v>569.75</v>
      </c>
      <c r="BM82" s="25">
        <v>570</v>
      </c>
      <c r="BN82" s="239">
        <v>42</v>
      </c>
      <c r="BO82" s="239">
        <v>0</v>
      </c>
      <c r="BP82" s="239">
        <v>0</v>
      </c>
      <c r="BQ82" s="25">
        <v>100</v>
      </c>
      <c r="BR82" s="25">
        <v>685.33333333333337</v>
      </c>
      <c r="BS82" s="25">
        <v>0</v>
      </c>
      <c r="BT82" s="33">
        <v>83</v>
      </c>
      <c r="BU82" s="31">
        <v>1</v>
      </c>
      <c r="BV82" s="31">
        <v>0</v>
      </c>
      <c r="BW82" s="72">
        <v>98.809523809523824</v>
      </c>
      <c r="BX82" s="25">
        <v>627.54166666666674</v>
      </c>
      <c r="BY82" s="25">
        <v>570</v>
      </c>
    </row>
    <row r="83" spans="1:77" x14ac:dyDescent="0.2">
      <c r="A83" s="2" t="s">
        <v>513</v>
      </c>
      <c r="B83" s="2" t="s">
        <v>67</v>
      </c>
      <c r="C83" s="550">
        <v>42</v>
      </c>
      <c r="D83" s="550">
        <v>0</v>
      </c>
      <c r="E83" s="550">
        <v>0</v>
      </c>
      <c r="F83" s="550">
        <v>100</v>
      </c>
      <c r="G83" s="550">
        <v>509.83333333333331</v>
      </c>
      <c r="H83" s="550" t="s">
        <v>829</v>
      </c>
      <c r="I83" s="550">
        <v>42</v>
      </c>
      <c r="J83" s="550">
        <v>0</v>
      </c>
      <c r="K83" s="550">
        <v>0</v>
      </c>
      <c r="L83" s="550">
        <v>100</v>
      </c>
      <c r="M83" s="550">
        <v>617.08333333333337</v>
      </c>
      <c r="N83" s="550" t="s">
        <v>829</v>
      </c>
      <c r="O83" s="550">
        <v>84</v>
      </c>
      <c r="P83" s="550">
        <v>0</v>
      </c>
      <c r="Q83" s="550">
        <v>0</v>
      </c>
      <c r="R83" s="550">
        <v>100</v>
      </c>
      <c r="S83" s="550">
        <v>563.45833333333337</v>
      </c>
      <c r="T83" s="550">
        <v>0</v>
      </c>
      <c r="V83" s="550">
        <v>42</v>
      </c>
      <c r="W83" s="550">
        <v>0</v>
      </c>
      <c r="X83" s="550">
        <v>0</v>
      </c>
      <c r="Y83" s="550">
        <v>100</v>
      </c>
      <c r="Z83" s="550">
        <v>635.58333333333337</v>
      </c>
      <c r="AA83" s="550" t="s">
        <v>829</v>
      </c>
      <c r="AB83" s="550">
        <v>42</v>
      </c>
      <c r="AC83" s="550">
        <v>0</v>
      </c>
      <c r="AD83" s="550">
        <v>0</v>
      </c>
      <c r="AE83" s="550">
        <v>100</v>
      </c>
      <c r="AF83" s="550">
        <v>772.66666666666663</v>
      </c>
      <c r="AG83" s="550" t="s">
        <v>829</v>
      </c>
      <c r="AH83" s="550">
        <v>84</v>
      </c>
      <c r="AI83" s="550">
        <v>0</v>
      </c>
      <c r="AJ83" s="550">
        <v>0</v>
      </c>
      <c r="AK83" s="550">
        <v>100</v>
      </c>
      <c r="AL83" s="550">
        <v>704.125</v>
      </c>
      <c r="AM83" s="550">
        <v>0</v>
      </c>
      <c r="AN83" s="2" t="s">
        <v>67</v>
      </c>
      <c r="AO83" s="69">
        <v>35</v>
      </c>
      <c r="AP83" s="69">
        <v>2</v>
      </c>
      <c r="AQ83" s="69">
        <v>5</v>
      </c>
      <c r="AR83" s="68">
        <v>83.333333333333329</v>
      </c>
      <c r="AS83" s="68">
        <v>790.75</v>
      </c>
      <c r="AT83" s="68">
        <v>486.5</v>
      </c>
      <c r="AU83" s="69">
        <v>35</v>
      </c>
      <c r="AV83" s="69">
        <v>1</v>
      </c>
      <c r="AW83" s="69">
        <v>6</v>
      </c>
      <c r="AX83" s="68">
        <v>83.333333333333329</v>
      </c>
      <c r="AY83" s="68">
        <v>831.75</v>
      </c>
      <c r="AZ83" s="68">
        <v>637</v>
      </c>
      <c r="BA83" s="69">
        <v>70</v>
      </c>
      <c r="BB83" s="69">
        <v>3</v>
      </c>
      <c r="BC83" s="69">
        <v>11</v>
      </c>
      <c r="BD83" s="68">
        <v>83.333333333333329</v>
      </c>
      <c r="BE83" s="68">
        <v>811.25</v>
      </c>
      <c r="BF83" s="68">
        <v>561.75</v>
      </c>
      <c r="BH83" s="31">
        <v>39</v>
      </c>
      <c r="BI83" s="31">
        <v>0</v>
      </c>
      <c r="BJ83" s="31">
        <v>3</v>
      </c>
      <c r="BK83" s="25">
        <v>92.857142857142847</v>
      </c>
      <c r="BL83" s="25">
        <v>944</v>
      </c>
      <c r="BM83" s="25">
        <v>0</v>
      </c>
      <c r="BN83" s="239">
        <v>34</v>
      </c>
      <c r="BO83" s="239">
        <v>1</v>
      </c>
      <c r="BP83" s="239">
        <v>7</v>
      </c>
      <c r="BQ83" s="25">
        <v>80.952380952380949</v>
      </c>
      <c r="BR83" s="25">
        <v>1224.125</v>
      </c>
      <c r="BS83" s="25">
        <v>1290</v>
      </c>
      <c r="BT83" s="33">
        <v>73</v>
      </c>
      <c r="BU83" s="31">
        <v>1</v>
      </c>
      <c r="BV83" s="31">
        <v>10</v>
      </c>
      <c r="BW83" s="72">
        <v>86.904761904761898</v>
      </c>
      <c r="BX83" s="25">
        <v>1084.0625</v>
      </c>
      <c r="BY83" s="25">
        <v>1290</v>
      </c>
    </row>
    <row r="84" spans="1:77" x14ac:dyDescent="0.2">
      <c r="A84" s="2" t="s">
        <v>522</v>
      </c>
      <c r="AN84" s="2" t="s">
        <v>68</v>
      </c>
      <c r="AO84" s="69">
        <v>42</v>
      </c>
      <c r="AP84" s="69">
        <v>0</v>
      </c>
      <c r="AQ84" s="69">
        <v>0</v>
      </c>
      <c r="AR84" s="68">
        <v>100</v>
      </c>
      <c r="AS84" s="68">
        <v>509.5</v>
      </c>
      <c r="AT84" s="68">
        <v>0</v>
      </c>
      <c r="AU84" s="69">
        <v>42</v>
      </c>
      <c r="AV84" s="69">
        <v>0</v>
      </c>
      <c r="AW84" s="69">
        <v>0</v>
      </c>
      <c r="AX84" s="68">
        <v>100</v>
      </c>
      <c r="AY84" s="68">
        <v>463.75</v>
      </c>
      <c r="AZ84" s="68">
        <v>0</v>
      </c>
      <c r="BA84" s="69">
        <v>84</v>
      </c>
      <c r="BB84" s="69">
        <v>0</v>
      </c>
      <c r="BC84" s="69">
        <v>0</v>
      </c>
      <c r="BD84" s="68">
        <v>100</v>
      </c>
      <c r="BE84" s="68">
        <v>486.625</v>
      </c>
      <c r="BF84" s="68">
        <v>0</v>
      </c>
      <c r="BH84" s="31">
        <v>39</v>
      </c>
      <c r="BI84" s="31">
        <v>0</v>
      </c>
      <c r="BJ84" s="31">
        <v>3</v>
      </c>
      <c r="BK84" s="25">
        <v>92.857142857142847</v>
      </c>
      <c r="BL84" s="25">
        <v>607.6111111111112</v>
      </c>
      <c r="BM84" s="25">
        <v>0</v>
      </c>
      <c r="BN84" s="239">
        <v>39</v>
      </c>
      <c r="BO84" s="239">
        <v>0</v>
      </c>
      <c r="BP84" s="239">
        <v>3</v>
      </c>
      <c r="BQ84" s="25">
        <v>92.857142857142847</v>
      </c>
      <c r="BR84" s="25">
        <v>557.1111111111112</v>
      </c>
      <c r="BS84" s="25">
        <v>0</v>
      </c>
      <c r="BT84" s="33">
        <v>78</v>
      </c>
      <c r="BU84" s="31">
        <v>0</v>
      </c>
      <c r="BV84" s="31">
        <v>6</v>
      </c>
      <c r="BW84" s="72">
        <v>92.857142857142847</v>
      </c>
      <c r="BX84" s="25">
        <v>582.3611111111112</v>
      </c>
      <c r="BY84" s="25">
        <v>0</v>
      </c>
    </row>
    <row r="85" spans="1:77" x14ac:dyDescent="0.2">
      <c r="A85" s="2" t="s">
        <v>593</v>
      </c>
      <c r="B85" s="2" t="s">
        <v>68</v>
      </c>
      <c r="C85" s="550">
        <v>42</v>
      </c>
      <c r="D85" s="550">
        <v>0</v>
      </c>
      <c r="E85" s="550">
        <v>0</v>
      </c>
      <c r="F85" s="550">
        <v>100</v>
      </c>
      <c r="G85" s="550">
        <v>497.66666666666669</v>
      </c>
      <c r="H85" s="550" t="s">
        <v>829</v>
      </c>
      <c r="I85" s="550">
        <v>39</v>
      </c>
      <c r="J85" s="550">
        <v>1</v>
      </c>
      <c r="K85" s="550">
        <v>2</v>
      </c>
      <c r="L85" s="550">
        <v>92.857142857142847</v>
      </c>
      <c r="M85" s="550">
        <v>438.75</v>
      </c>
      <c r="N85" s="550">
        <v>259</v>
      </c>
      <c r="O85" s="550">
        <v>81</v>
      </c>
      <c r="P85" s="550">
        <v>1</v>
      </c>
      <c r="Q85" s="550">
        <v>2</v>
      </c>
      <c r="R85" s="550">
        <v>96.428571428571416</v>
      </c>
      <c r="S85" s="550">
        <v>468.20833333333337</v>
      </c>
      <c r="T85" s="550">
        <v>259</v>
      </c>
      <c r="V85" s="550">
        <v>42</v>
      </c>
      <c r="W85" s="550">
        <v>0</v>
      </c>
      <c r="X85" s="550">
        <v>0</v>
      </c>
      <c r="Y85" s="550">
        <v>100</v>
      </c>
      <c r="Z85" s="550">
        <v>497.66666666666669</v>
      </c>
      <c r="AA85" s="550" t="s">
        <v>829</v>
      </c>
      <c r="AB85" s="550">
        <v>39</v>
      </c>
      <c r="AC85" s="550">
        <v>1</v>
      </c>
      <c r="AD85" s="550">
        <v>2</v>
      </c>
      <c r="AE85" s="550">
        <v>92.857142857142847</v>
      </c>
      <c r="AF85" s="550">
        <v>438.75</v>
      </c>
      <c r="AG85" s="550">
        <v>259</v>
      </c>
      <c r="AH85" s="550">
        <v>79</v>
      </c>
      <c r="AI85" s="550">
        <v>0</v>
      </c>
      <c r="AJ85" s="550">
        <v>4</v>
      </c>
      <c r="AK85" s="550">
        <v>94.047619047619065</v>
      </c>
      <c r="AL85" s="550">
        <v>599.48611111111109</v>
      </c>
      <c r="AM85" s="550">
        <v>0</v>
      </c>
      <c r="AN85" s="2" t="s">
        <v>68</v>
      </c>
      <c r="AO85" s="69">
        <v>42</v>
      </c>
      <c r="AP85" s="69">
        <v>0</v>
      </c>
      <c r="AQ85" s="69">
        <v>0</v>
      </c>
      <c r="AR85" s="68">
        <v>100</v>
      </c>
      <c r="AS85" s="68">
        <v>514.75</v>
      </c>
      <c r="AT85" s="68">
        <v>0</v>
      </c>
      <c r="AU85" s="69">
        <v>42</v>
      </c>
      <c r="AV85" s="69">
        <v>0</v>
      </c>
      <c r="AW85" s="69">
        <v>0</v>
      </c>
      <c r="AX85" s="68">
        <v>100</v>
      </c>
      <c r="AY85" s="68">
        <v>513.5</v>
      </c>
      <c r="AZ85" s="68">
        <v>0</v>
      </c>
      <c r="BA85" s="69">
        <v>84</v>
      </c>
      <c r="BB85" s="69">
        <v>0</v>
      </c>
      <c r="BC85" s="69">
        <v>0</v>
      </c>
      <c r="BD85" s="68">
        <v>100</v>
      </c>
      <c r="BE85" s="68">
        <v>514.125</v>
      </c>
      <c r="BF85" s="68">
        <v>0</v>
      </c>
      <c r="BH85" s="31">
        <v>42</v>
      </c>
      <c r="BI85" s="31">
        <v>0</v>
      </c>
      <c r="BJ85" s="31">
        <v>0</v>
      </c>
      <c r="BK85" s="25">
        <v>100</v>
      </c>
      <c r="BL85" s="25">
        <v>525.66666666666663</v>
      </c>
      <c r="BM85" s="25">
        <v>0</v>
      </c>
      <c r="BN85" s="239">
        <v>39</v>
      </c>
      <c r="BO85" s="239">
        <v>1</v>
      </c>
      <c r="BP85" s="239">
        <v>2</v>
      </c>
      <c r="BQ85" s="25">
        <v>92.857142857142847</v>
      </c>
      <c r="BR85" s="25">
        <v>717.41666666666663</v>
      </c>
      <c r="BS85" s="25">
        <v>18</v>
      </c>
      <c r="BT85" s="33">
        <v>81</v>
      </c>
      <c r="BU85" s="31">
        <v>1</v>
      </c>
      <c r="BV85" s="31">
        <v>2</v>
      </c>
      <c r="BW85" s="72">
        <v>96.428571428571416</v>
      </c>
      <c r="BX85" s="25">
        <v>621.54166666666663</v>
      </c>
      <c r="BY85" s="25">
        <v>18</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I139"/>
  <sheetViews>
    <sheetView workbookViewId="0">
      <selection activeCell="A9" sqref="A9:XFD9"/>
    </sheetView>
  </sheetViews>
  <sheetFormatPr baseColWidth="10" defaultColWidth="8.83203125" defaultRowHeight="15" x14ac:dyDescent="0.2"/>
  <cols>
    <col min="1" max="1" width="12.6640625" style="86" bestFit="1" customWidth="1"/>
    <col min="2" max="2" width="10" style="87" customWidth="1"/>
    <col min="3" max="3" width="8.83203125" style="15"/>
    <col min="4" max="4" width="10.6640625" style="13" customWidth="1"/>
    <col min="5" max="5" width="10.6640625" style="22" customWidth="1"/>
    <col min="6" max="6" width="12.6640625" style="89" bestFit="1" customWidth="1"/>
    <col min="7" max="7" width="8.83203125" style="215"/>
    <col min="8" max="9" width="8.83203125" style="13"/>
  </cols>
  <sheetData>
    <row r="1" spans="1:9" s="22" customFormat="1" x14ac:dyDescent="0.2">
      <c r="A1" s="1" t="s">
        <v>103</v>
      </c>
      <c r="D1" s="17" t="s">
        <v>104</v>
      </c>
      <c r="E1" s="23"/>
      <c r="F1" s="191"/>
    </row>
    <row r="2" spans="1:9" s="22" customFormat="1" x14ac:dyDescent="0.2">
      <c r="A2" s="1" t="s">
        <v>105</v>
      </c>
      <c r="D2" s="17" t="s">
        <v>106</v>
      </c>
      <c r="E2" s="23"/>
      <c r="F2" s="191"/>
    </row>
    <row r="3" spans="1:9" s="22" customFormat="1" x14ac:dyDescent="0.2">
      <c r="A3" s="1"/>
      <c r="C3" s="1"/>
      <c r="F3" s="191"/>
    </row>
    <row r="4" spans="1:9" s="1" customFormat="1" x14ac:dyDescent="0.2">
      <c r="A4" s="84" t="s">
        <v>87</v>
      </c>
      <c r="B4" s="85" t="s">
        <v>88</v>
      </c>
      <c r="C4" s="212" t="s">
        <v>89</v>
      </c>
      <c r="D4" s="85" t="s">
        <v>90</v>
      </c>
      <c r="E4" s="23"/>
      <c r="F4" s="88" t="s">
        <v>87</v>
      </c>
      <c r="G4" s="214" t="s">
        <v>88</v>
      </c>
      <c r="H4" s="85" t="s">
        <v>89</v>
      </c>
      <c r="I4" s="85" t="s">
        <v>90</v>
      </c>
    </row>
    <row r="5" spans="1:9" s="1" customFormat="1" x14ac:dyDescent="0.2">
      <c r="A5" s="189" t="s">
        <v>37</v>
      </c>
      <c r="B5" s="190"/>
      <c r="C5" s="213"/>
      <c r="D5" s="190"/>
      <c r="E5" s="23"/>
      <c r="F5" s="88" t="s">
        <v>38</v>
      </c>
      <c r="G5" s="214"/>
      <c r="H5" s="85"/>
      <c r="I5" s="85"/>
    </row>
    <row r="6" spans="1:9" x14ac:dyDescent="0.2">
      <c r="A6" s="86" t="s">
        <v>91</v>
      </c>
      <c r="B6" s="87" t="s">
        <v>92</v>
      </c>
      <c r="C6" s="15" t="s">
        <v>93</v>
      </c>
      <c r="D6" s="13" t="s">
        <v>94</v>
      </c>
      <c r="F6" s="89" t="s">
        <v>98</v>
      </c>
      <c r="G6" s="215" t="s">
        <v>92</v>
      </c>
      <c r="H6" s="13" t="s">
        <v>102</v>
      </c>
      <c r="I6" s="13" t="s">
        <v>101</v>
      </c>
    </row>
    <row r="7" spans="1:9" x14ac:dyDescent="0.2">
      <c r="A7" s="86" t="s">
        <v>95</v>
      </c>
      <c r="B7" s="87" t="s">
        <v>96</v>
      </c>
      <c r="C7" s="15" t="s">
        <v>94</v>
      </c>
      <c r="D7" s="13" t="s">
        <v>93</v>
      </c>
      <c r="G7" s="215" t="s">
        <v>96</v>
      </c>
      <c r="H7" s="13" t="s">
        <v>22</v>
      </c>
      <c r="I7" s="13" t="s">
        <v>23</v>
      </c>
    </row>
    <row r="9" spans="1:9" x14ac:dyDescent="0.2">
      <c r="A9" s="86" t="s">
        <v>43</v>
      </c>
      <c r="B9" s="87" t="s">
        <v>92</v>
      </c>
      <c r="C9" s="15" t="s">
        <v>101</v>
      </c>
      <c r="D9" s="13" t="s">
        <v>102</v>
      </c>
      <c r="F9" s="89" t="s">
        <v>100</v>
      </c>
      <c r="G9" s="215" t="s">
        <v>92</v>
      </c>
      <c r="H9" s="13" t="s">
        <v>101</v>
      </c>
      <c r="I9" s="13" t="s">
        <v>102</v>
      </c>
    </row>
    <row r="10" spans="1:9" x14ac:dyDescent="0.2">
      <c r="B10" s="87" t="s">
        <v>96</v>
      </c>
      <c r="C10" s="15" t="s">
        <v>23</v>
      </c>
      <c r="D10" s="13" t="s">
        <v>22</v>
      </c>
      <c r="G10" s="215" t="s">
        <v>96</v>
      </c>
      <c r="H10" s="13" t="s">
        <v>23</v>
      </c>
      <c r="I10" s="13" t="s">
        <v>22</v>
      </c>
    </row>
    <row r="12" spans="1:9" x14ac:dyDescent="0.2">
      <c r="A12" s="86" t="s">
        <v>44</v>
      </c>
      <c r="B12" s="87" t="s">
        <v>92</v>
      </c>
      <c r="C12" s="15" t="s">
        <v>102</v>
      </c>
      <c r="D12" s="13" t="s">
        <v>101</v>
      </c>
      <c r="F12" s="89" t="s">
        <v>107</v>
      </c>
      <c r="G12" s="215" t="s">
        <v>92</v>
      </c>
      <c r="H12" s="13" t="s">
        <v>102</v>
      </c>
      <c r="I12" s="13" t="s">
        <v>101</v>
      </c>
    </row>
    <row r="13" spans="1:9" x14ac:dyDescent="0.2">
      <c r="B13" s="87" t="s">
        <v>96</v>
      </c>
      <c r="C13" s="15" t="s">
        <v>23</v>
      </c>
      <c r="D13" s="13" t="s">
        <v>22</v>
      </c>
      <c r="G13" s="215" t="s">
        <v>96</v>
      </c>
      <c r="H13" s="13" t="s">
        <v>23</v>
      </c>
      <c r="I13" s="13" t="s">
        <v>22</v>
      </c>
    </row>
    <row r="15" spans="1:9" x14ac:dyDescent="0.2">
      <c r="A15" s="86" t="s">
        <v>45</v>
      </c>
      <c r="B15" s="87" t="s">
        <v>92</v>
      </c>
      <c r="C15" s="15" t="s">
        <v>101</v>
      </c>
      <c r="D15" s="13" t="s">
        <v>102</v>
      </c>
      <c r="F15" s="89">
        <v>58.04</v>
      </c>
      <c r="G15" s="215" t="s">
        <v>92</v>
      </c>
      <c r="H15" s="13" t="s">
        <v>101</v>
      </c>
      <c r="I15" s="13" t="s">
        <v>102</v>
      </c>
    </row>
    <row r="16" spans="1:9" x14ac:dyDescent="0.2">
      <c r="B16" s="87" t="s">
        <v>96</v>
      </c>
      <c r="C16" s="15" t="s">
        <v>22</v>
      </c>
      <c r="D16" s="13" t="s">
        <v>23</v>
      </c>
      <c r="G16" s="215" t="s">
        <v>96</v>
      </c>
      <c r="H16" s="13" t="s">
        <v>22</v>
      </c>
      <c r="I16" s="13" t="s">
        <v>23</v>
      </c>
    </row>
    <row r="18" spans="1:9" x14ac:dyDescent="0.2">
      <c r="A18" s="86" t="s">
        <v>46</v>
      </c>
      <c r="B18" s="87" t="s">
        <v>92</v>
      </c>
      <c r="C18" s="15" t="s">
        <v>102</v>
      </c>
      <c r="D18" s="13" t="s">
        <v>101</v>
      </c>
      <c r="F18" s="89">
        <v>58.05</v>
      </c>
      <c r="G18" s="215" t="s">
        <v>92</v>
      </c>
      <c r="H18" s="13" t="s">
        <v>102</v>
      </c>
      <c r="I18" s="13" t="s">
        <v>101</v>
      </c>
    </row>
    <row r="19" spans="1:9" x14ac:dyDescent="0.2">
      <c r="B19" s="87" t="s">
        <v>96</v>
      </c>
      <c r="C19" s="15" t="s">
        <v>22</v>
      </c>
      <c r="D19" s="13" t="s">
        <v>23</v>
      </c>
      <c r="G19" s="215" t="s">
        <v>96</v>
      </c>
      <c r="H19" s="13" t="s">
        <v>22</v>
      </c>
      <c r="I19" s="13" t="s">
        <v>23</v>
      </c>
    </row>
    <row r="21" spans="1:9" x14ac:dyDescent="0.2">
      <c r="A21" s="86" t="s">
        <v>97</v>
      </c>
      <c r="B21" s="87" t="s">
        <v>92</v>
      </c>
      <c r="C21" s="15" t="s">
        <v>101</v>
      </c>
      <c r="D21" s="13" t="s">
        <v>102</v>
      </c>
      <c r="F21" s="89">
        <v>58.06</v>
      </c>
      <c r="G21" s="215" t="s">
        <v>92</v>
      </c>
      <c r="H21" s="13" t="s">
        <v>101</v>
      </c>
      <c r="I21" s="13" t="s">
        <v>102</v>
      </c>
    </row>
    <row r="22" spans="1:9" x14ac:dyDescent="0.2">
      <c r="B22" s="87" t="s">
        <v>96</v>
      </c>
      <c r="C22" s="15" t="s">
        <v>23</v>
      </c>
      <c r="D22" s="13" t="s">
        <v>22</v>
      </c>
      <c r="G22" s="215" t="s">
        <v>96</v>
      </c>
      <c r="H22" s="13" t="s">
        <v>23</v>
      </c>
      <c r="I22" s="13" t="s">
        <v>22</v>
      </c>
    </row>
    <row r="24" spans="1:9" x14ac:dyDescent="0.2">
      <c r="A24" s="86" t="s">
        <v>99</v>
      </c>
      <c r="B24" s="87" t="s">
        <v>92</v>
      </c>
      <c r="C24" s="15" t="s">
        <v>102</v>
      </c>
      <c r="D24" s="13" t="s">
        <v>101</v>
      </c>
      <c r="F24" s="89">
        <v>58.07</v>
      </c>
      <c r="G24" s="215" t="s">
        <v>92</v>
      </c>
      <c r="H24" s="13" t="s">
        <v>102</v>
      </c>
      <c r="I24" s="13" t="s">
        <v>101</v>
      </c>
    </row>
    <row r="25" spans="1:9" x14ac:dyDescent="0.2">
      <c r="B25" s="87" t="s">
        <v>96</v>
      </c>
      <c r="C25" s="15" t="s">
        <v>23</v>
      </c>
      <c r="D25" s="13" t="s">
        <v>22</v>
      </c>
      <c r="G25" s="215" t="s">
        <v>96</v>
      </c>
      <c r="H25" s="13" t="s">
        <v>23</v>
      </c>
      <c r="I25" s="13" t="s">
        <v>22</v>
      </c>
    </row>
    <row r="27" spans="1:9" x14ac:dyDescent="0.2">
      <c r="A27" s="86" t="s">
        <v>108</v>
      </c>
      <c r="B27" s="87" t="s">
        <v>92</v>
      </c>
      <c r="C27" s="15" t="s">
        <v>101</v>
      </c>
      <c r="D27" s="13" t="s">
        <v>102</v>
      </c>
      <c r="F27" s="89">
        <v>58.08</v>
      </c>
      <c r="G27" s="215" t="s">
        <v>92</v>
      </c>
      <c r="H27" s="13" t="s">
        <v>101</v>
      </c>
      <c r="I27" s="13" t="s">
        <v>102</v>
      </c>
    </row>
    <row r="28" spans="1:9" x14ac:dyDescent="0.2">
      <c r="B28" s="87" t="s">
        <v>96</v>
      </c>
      <c r="C28" s="15" t="s">
        <v>22</v>
      </c>
      <c r="D28" s="13" t="s">
        <v>23</v>
      </c>
      <c r="G28" s="215" t="s">
        <v>96</v>
      </c>
      <c r="H28" s="13" t="s">
        <v>22</v>
      </c>
      <c r="I28" s="13" t="s">
        <v>23</v>
      </c>
    </row>
    <row r="30" spans="1:9" x14ac:dyDescent="0.2">
      <c r="A30" s="86" t="s">
        <v>109</v>
      </c>
      <c r="B30" s="87" t="s">
        <v>92</v>
      </c>
      <c r="C30" s="15" t="s">
        <v>102</v>
      </c>
      <c r="D30" s="13" t="s">
        <v>101</v>
      </c>
      <c r="F30" s="89">
        <v>58.09</v>
      </c>
      <c r="G30" s="215" t="s">
        <v>92</v>
      </c>
      <c r="H30" s="13" t="s">
        <v>102</v>
      </c>
      <c r="I30" s="13" t="s">
        <v>101</v>
      </c>
    </row>
    <row r="31" spans="1:9" x14ac:dyDescent="0.2">
      <c r="B31" s="87" t="s">
        <v>96</v>
      </c>
      <c r="C31" s="15" t="s">
        <v>22</v>
      </c>
      <c r="D31" s="13" t="s">
        <v>23</v>
      </c>
      <c r="G31" s="215" t="s">
        <v>96</v>
      </c>
      <c r="H31" s="13" t="s">
        <v>22</v>
      </c>
      <c r="I31" s="13" t="s">
        <v>23</v>
      </c>
    </row>
    <row r="33" spans="1:9" x14ac:dyDescent="0.2">
      <c r="A33" s="86" t="s">
        <v>110</v>
      </c>
      <c r="B33" s="87" t="s">
        <v>92</v>
      </c>
      <c r="C33" s="15" t="s">
        <v>101</v>
      </c>
      <c r="D33" s="13" t="s">
        <v>102</v>
      </c>
      <c r="F33" s="89">
        <v>58.1</v>
      </c>
      <c r="G33" s="215" t="s">
        <v>92</v>
      </c>
      <c r="H33" s="13" t="s">
        <v>101</v>
      </c>
      <c r="I33" s="13" t="s">
        <v>102</v>
      </c>
    </row>
    <row r="34" spans="1:9" x14ac:dyDescent="0.2">
      <c r="B34" s="87" t="s">
        <v>96</v>
      </c>
      <c r="C34" s="15" t="s">
        <v>23</v>
      </c>
      <c r="D34" s="13" t="s">
        <v>22</v>
      </c>
      <c r="G34" s="215" t="s">
        <v>96</v>
      </c>
      <c r="H34" s="13" t="s">
        <v>23</v>
      </c>
      <c r="I34" s="13" t="s">
        <v>22</v>
      </c>
    </row>
    <row r="36" spans="1:9" x14ac:dyDescent="0.2">
      <c r="A36" s="86" t="s">
        <v>111</v>
      </c>
      <c r="B36" s="87" t="s">
        <v>92</v>
      </c>
      <c r="C36" s="15" t="s">
        <v>102</v>
      </c>
      <c r="D36" s="13" t="s">
        <v>101</v>
      </c>
      <c r="F36" s="89">
        <v>58.11</v>
      </c>
      <c r="G36" s="215" t="s">
        <v>92</v>
      </c>
      <c r="H36" s="13" t="s">
        <v>102</v>
      </c>
      <c r="I36" s="13" t="s">
        <v>101</v>
      </c>
    </row>
    <row r="37" spans="1:9" x14ac:dyDescent="0.2">
      <c r="B37" s="87" t="s">
        <v>96</v>
      </c>
      <c r="C37" s="15" t="s">
        <v>23</v>
      </c>
      <c r="D37" s="13" t="s">
        <v>22</v>
      </c>
      <c r="G37" s="215" t="s">
        <v>96</v>
      </c>
      <c r="H37" s="13" t="s">
        <v>23</v>
      </c>
      <c r="I37" s="13" t="s">
        <v>22</v>
      </c>
    </row>
    <row r="39" spans="1:9" x14ac:dyDescent="0.2">
      <c r="A39" s="86" t="s">
        <v>112</v>
      </c>
      <c r="B39" s="87" t="s">
        <v>92</v>
      </c>
      <c r="C39" s="15" t="s">
        <v>101</v>
      </c>
      <c r="D39" s="13" t="s">
        <v>102</v>
      </c>
      <c r="F39" s="89">
        <v>58.12</v>
      </c>
      <c r="G39" s="215" t="s">
        <v>92</v>
      </c>
      <c r="H39" s="13" t="s">
        <v>101</v>
      </c>
      <c r="I39" s="13" t="s">
        <v>102</v>
      </c>
    </row>
    <row r="40" spans="1:9" x14ac:dyDescent="0.2">
      <c r="B40" s="87" t="s">
        <v>96</v>
      </c>
      <c r="C40" s="15" t="s">
        <v>22</v>
      </c>
      <c r="D40" s="13" t="s">
        <v>23</v>
      </c>
      <c r="G40" s="215" t="s">
        <v>96</v>
      </c>
      <c r="H40" s="13" t="s">
        <v>22</v>
      </c>
      <c r="I40" s="13" t="s">
        <v>23</v>
      </c>
    </row>
    <row r="42" spans="1:9" x14ac:dyDescent="0.2">
      <c r="A42" s="86" t="s">
        <v>113</v>
      </c>
      <c r="B42" s="87" t="s">
        <v>92</v>
      </c>
      <c r="C42" s="15" t="s">
        <v>102</v>
      </c>
      <c r="D42" s="13" t="s">
        <v>101</v>
      </c>
      <c r="F42" s="89">
        <v>58.13</v>
      </c>
      <c r="G42" s="215" t="s">
        <v>92</v>
      </c>
      <c r="H42" s="13" t="s">
        <v>102</v>
      </c>
      <c r="I42" s="13" t="s">
        <v>101</v>
      </c>
    </row>
    <row r="43" spans="1:9" x14ac:dyDescent="0.2">
      <c r="B43" s="87" t="s">
        <v>96</v>
      </c>
      <c r="C43" s="15" t="s">
        <v>22</v>
      </c>
      <c r="D43" s="13" t="s">
        <v>23</v>
      </c>
      <c r="G43" s="215" t="s">
        <v>96</v>
      </c>
      <c r="H43" s="13" t="s">
        <v>22</v>
      </c>
      <c r="I43" s="13" t="s">
        <v>23</v>
      </c>
    </row>
    <row r="45" spans="1:9" x14ac:dyDescent="0.2">
      <c r="A45" s="86" t="s">
        <v>114</v>
      </c>
      <c r="B45" s="87" t="s">
        <v>92</v>
      </c>
      <c r="C45" s="15" t="s">
        <v>101</v>
      </c>
      <c r="D45" s="13" t="s">
        <v>102</v>
      </c>
      <c r="F45" s="89">
        <v>58.14</v>
      </c>
      <c r="G45" s="215" t="s">
        <v>92</v>
      </c>
      <c r="H45" s="13" t="s">
        <v>101</v>
      </c>
      <c r="I45" s="13" t="s">
        <v>102</v>
      </c>
    </row>
    <row r="46" spans="1:9" x14ac:dyDescent="0.2">
      <c r="B46" s="87" t="s">
        <v>96</v>
      </c>
      <c r="C46" s="15" t="s">
        <v>23</v>
      </c>
      <c r="D46" s="13" t="s">
        <v>22</v>
      </c>
      <c r="G46" s="215" t="s">
        <v>96</v>
      </c>
      <c r="H46" s="13" t="s">
        <v>23</v>
      </c>
      <c r="I46" s="13" t="s">
        <v>22</v>
      </c>
    </row>
    <row r="48" spans="1:9" x14ac:dyDescent="0.2">
      <c r="A48" s="86" t="s">
        <v>115</v>
      </c>
      <c r="B48" s="87" t="s">
        <v>92</v>
      </c>
      <c r="C48" s="15" t="s">
        <v>102</v>
      </c>
      <c r="D48" s="13" t="s">
        <v>101</v>
      </c>
      <c r="F48" s="89">
        <v>58.15</v>
      </c>
      <c r="G48" s="215" t="s">
        <v>92</v>
      </c>
      <c r="H48" s="13" t="s">
        <v>102</v>
      </c>
      <c r="I48" s="13" t="s">
        <v>101</v>
      </c>
    </row>
    <row r="49" spans="1:9" x14ac:dyDescent="0.2">
      <c r="B49" s="87" t="s">
        <v>96</v>
      </c>
      <c r="C49" s="15" t="s">
        <v>23</v>
      </c>
      <c r="D49" s="13" t="s">
        <v>22</v>
      </c>
      <c r="G49" s="215" t="s">
        <v>96</v>
      </c>
      <c r="H49" s="13" t="s">
        <v>23</v>
      </c>
      <c r="I49" s="13" t="s">
        <v>22</v>
      </c>
    </row>
    <row r="51" spans="1:9" x14ac:dyDescent="0.2">
      <c r="A51" s="86" t="s">
        <v>116</v>
      </c>
      <c r="B51" s="87" t="s">
        <v>92</v>
      </c>
      <c r="C51" s="15" t="s">
        <v>101</v>
      </c>
      <c r="D51" s="13" t="s">
        <v>102</v>
      </c>
      <c r="F51" s="89">
        <v>58.16</v>
      </c>
      <c r="G51" s="215" t="s">
        <v>92</v>
      </c>
      <c r="H51" s="13" t="s">
        <v>101</v>
      </c>
      <c r="I51" s="13" t="s">
        <v>102</v>
      </c>
    </row>
    <row r="52" spans="1:9" x14ac:dyDescent="0.2">
      <c r="B52" s="87" t="s">
        <v>96</v>
      </c>
      <c r="C52" s="15" t="s">
        <v>22</v>
      </c>
      <c r="D52" s="13" t="s">
        <v>23</v>
      </c>
      <c r="G52" s="215" t="s">
        <v>96</v>
      </c>
      <c r="H52" s="13" t="s">
        <v>22</v>
      </c>
      <c r="I52" s="13" t="s">
        <v>23</v>
      </c>
    </row>
    <row r="54" spans="1:9" x14ac:dyDescent="0.2">
      <c r="A54" s="86" t="s">
        <v>117</v>
      </c>
      <c r="B54" s="87" t="s">
        <v>92</v>
      </c>
      <c r="C54" s="15" t="s">
        <v>102</v>
      </c>
      <c r="D54" s="13" t="s">
        <v>101</v>
      </c>
      <c r="F54" s="89">
        <v>58.17</v>
      </c>
      <c r="G54" s="215" t="s">
        <v>92</v>
      </c>
      <c r="H54" s="13" t="s">
        <v>102</v>
      </c>
      <c r="I54" s="13" t="s">
        <v>101</v>
      </c>
    </row>
    <row r="55" spans="1:9" x14ac:dyDescent="0.2">
      <c r="B55" s="87" t="s">
        <v>96</v>
      </c>
      <c r="C55" s="15" t="s">
        <v>22</v>
      </c>
      <c r="D55" s="13" t="s">
        <v>23</v>
      </c>
      <c r="G55" s="215" t="s">
        <v>96</v>
      </c>
      <c r="H55" s="13" t="s">
        <v>22</v>
      </c>
      <c r="I55" s="13" t="s">
        <v>23</v>
      </c>
    </row>
    <row r="57" spans="1:9" x14ac:dyDescent="0.2">
      <c r="A57" s="86" t="s">
        <v>171</v>
      </c>
      <c r="B57" s="87" t="s">
        <v>92</v>
      </c>
      <c r="C57" s="15" t="s">
        <v>101</v>
      </c>
      <c r="D57" s="13" t="s">
        <v>102</v>
      </c>
      <c r="F57" s="89">
        <v>58.18</v>
      </c>
      <c r="G57" s="215" t="s">
        <v>92</v>
      </c>
      <c r="H57" s="13" t="s">
        <v>101</v>
      </c>
      <c r="I57" s="13" t="s">
        <v>102</v>
      </c>
    </row>
    <row r="58" spans="1:9" x14ac:dyDescent="0.2">
      <c r="B58" s="87" t="s">
        <v>96</v>
      </c>
      <c r="C58" s="15" t="s">
        <v>23</v>
      </c>
      <c r="D58" s="13" t="s">
        <v>22</v>
      </c>
      <c r="G58" s="215" t="s">
        <v>96</v>
      </c>
      <c r="H58" s="13" t="s">
        <v>23</v>
      </c>
      <c r="I58" s="13" t="s">
        <v>22</v>
      </c>
    </row>
    <row r="60" spans="1:9" x14ac:dyDescent="0.2">
      <c r="A60" s="86" t="s">
        <v>172</v>
      </c>
      <c r="B60" s="87" t="s">
        <v>92</v>
      </c>
      <c r="C60" s="15" t="s">
        <v>102</v>
      </c>
      <c r="D60" s="13" t="s">
        <v>101</v>
      </c>
      <c r="F60" s="89">
        <v>58.19</v>
      </c>
      <c r="G60" s="215" t="s">
        <v>92</v>
      </c>
      <c r="H60" s="13" t="s">
        <v>102</v>
      </c>
      <c r="I60" s="13" t="s">
        <v>101</v>
      </c>
    </row>
    <row r="61" spans="1:9" x14ac:dyDescent="0.2">
      <c r="B61" s="87" t="s">
        <v>96</v>
      </c>
      <c r="C61" s="15" t="s">
        <v>23</v>
      </c>
      <c r="D61" s="13" t="s">
        <v>22</v>
      </c>
      <c r="G61" s="215" t="s">
        <v>96</v>
      </c>
      <c r="H61" s="13" t="s">
        <v>23</v>
      </c>
      <c r="I61" s="13" t="s">
        <v>22</v>
      </c>
    </row>
    <row r="63" spans="1:9" x14ac:dyDescent="0.2">
      <c r="A63" s="86" t="s">
        <v>173</v>
      </c>
      <c r="B63" s="87" t="s">
        <v>92</v>
      </c>
      <c r="C63" s="15" t="s">
        <v>101</v>
      </c>
      <c r="D63" s="13" t="s">
        <v>102</v>
      </c>
      <c r="F63" s="89">
        <v>58.2</v>
      </c>
      <c r="G63" s="215" t="s">
        <v>92</v>
      </c>
      <c r="H63" s="13" t="s">
        <v>101</v>
      </c>
      <c r="I63" s="13" t="s">
        <v>102</v>
      </c>
    </row>
    <row r="64" spans="1:9" x14ac:dyDescent="0.2">
      <c r="B64" s="87" t="s">
        <v>96</v>
      </c>
      <c r="C64" s="15" t="s">
        <v>22</v>
      </c>
      <c r="D64" s="13" t="s">
        <v>23</v>
      </c>
      <c r="G64" s="215" t="s">
        <v>96</v>
      </c>
      <c r="H64" s="13" t="s">
        <v>22</v>
      </c>
      <c r="I64" s="13" t="s">
        <v>23</v>
      </c>
    </row>
    <row r="66" spans="1:9" x14ac:dyDescent="0.2">
      <c r="A66" s="86" t="s">
        <v>199</v>
      </c>
      <c r="B66" s="87" t="s">
        <v>92</v>
      </c>
      <c r="C66" s="15" t="s">
        <v>102</v>
      </c>
      <c r="D66" s="13" t="s">
        <v>101</v>
      </c>
      <c r="F66" s="89">
        <v>58.21</v>
      </c>
      <c r="G66" s="215" t="s">
        <v>92</v>
      </c>
      <c r="H66" s="13" t="s">
        <v>102</v>
      </c>
      <c r="I66" s="13" t="s">
        <v>101</v>
      </c>
    </row>
    <row r="67" spans="1:9" x14ac:dyDescent="0.2">
      <c r="B67" s="87" t="s">
        <v>96</v>
      </c>
      <c r="C67" s="15" t="s">
        <v>22</v>
      </c>
      <c r="D67" s="13" t="s">
        <v>23</v>
      </c>
      <c r="G67" s="215" t="s">
        <v>96</v>
      </c>
      <c r="H67" s="13" t="s">
        <v>22</v>
      </c>
      <c r="I67" s="13" t="s">
        <v>23</v>
      </c>
    </row>
    <row r="69" spans="1:9" x14ac:dyDescent="0.2">
      <c r="A69" s="86" t="s">
        <v>200</v>
      </c>
      <c r="B69" s="87" t="s">
        <v>92</v>
      </c>
      <c r="C69" s="15" t="s">
        <v>101</v>
      </c>
      <c r="D69" s="13" t="s">
        <v>102</v>
      </c>
      <c r="F69" s="89">
        <v>58.22</v>
      </c>
      <c r="G69" s="215" t="s">
        <v>92</v>
      </c>
      <c r="H69" s="13" t="s">
        <v>101</v>
      </c>
      <c r="I69" s="13" t="s">
        <v>102</v>
      </c>
    </row>
    <row r="70" spans="1:9" x14ac:dyDescent="0.2">
      <c r="B70" s="87" t="s">
        <v>96</v>
      </c>
      <c r="C70" s="15" t="s">
        <v>23</v>
      </c>
      <c r="D70" s="13" t="s">
        <v>22</v>
      </c>
      <c r="G70" s="215" t="s">
        <v>96</v>
      </c>
      <c r="H70" s="13" t="s">
        <v>23</v>
      </c>
      <c r="I70" s="13" t="s">
        <v>22</v>
      </c>
    </row>
    <row r="72" spans="1:9" x14ac:dyDescent="0.2">
      <c r="A72" s="86" t="s">
        <v>201</v>
      </c>
      <c r="B72" s="87" t="s">
        <v>92</v>
      </c>
      <c r="C72" s="15" t="s">
        <v>102</v>
      </c>
      <c r="D72" s="13" t="s">
        <v>101</v>
      </c>
      <c r="F72" s="89">
        <v>58.23</v>
      </c>
      <c r="G72" s="215" t="s">
        <v>92</v>
      </c>
      <c r="H72" s="13" t="s">
        <v>102</v>
      </c>
      <c r="I72" s="13" t="s">
        <v>101</v>
      </c>
    </row>
    <row r="73" spans="1:9" x14ac:dyDescent="0.2">
      <c r="B73" s="87" t="s">
        <v>96</v>
      </c>
      <c r="C73" s="15" t="s">
        <v>23</v>
      </c>
      <c r="D73" s="13" t="s">
        <v>22</v>
      </c>
      <c r="G73" s="215" t="s">
        <v>96</v>
      </c>
      <c r="H73" s="13" t="s">
        <v>23</v>
      </c>
      <c r="I73" s="13" t="s">
        <v>22</v>
      </c>
    </row>
    <row r="75" spans="1:9" x14ac:dyDescent="0.2">
      <c r="A75" s="86" t="s">
        <v>202</v>
      </c>
      <c r="B75" s="87" t="s">
        <v>92</v>
      </c>
      <c r="C75" s="15" t="s">
        <v>101</v>
      </c>
      <c r="D75" s="13" t="s">
        <v>102</v>
      </c>
      <c r="F75" s="89">
        <v>58.24</v>
      </c>
      <c r="G75" s="215" t="s">
        <v>92</v>
      </c>
      <c r="H75" s="13" t="s">
        <v>101</v>
      </c>
      <c r="I75" s="13" t="s">
        <v>102</v>
      </c>
    </row>
    <row r="76" spans="1:9" x14ac:dyDescent="0.2">
      <c r="B76" s="87" t="s">
        <v>96</v>
      </c>
      <c r="C76" s="15" t="s">
        <v>22</v>
      </c>
      <c r="D76" s="13" t="s">
        <v>23</v>
      </c>
      <c r="G76" s="215" t="s">
        <v>96</v>
      </c>
      <c r="H76" s="13" t="s">
        <v>22</v>
      </c>
      <c r="I76" s="13" t="s">
        <v>23</v>
      </c>
    </row>
    <row r="78" spans="1:9" x14ac:dyDescent="0.2">
      <c r="A78" s="86" t="s">
        <v>203</v>
      </c>
      <c r="B78" s="87" t="s">
        <v>92</v>
      </c>
      <c r="C78" s="15" t="s">
        <v>102</v>
      </c>
      <c r="D78" s="13" t="s">
        <v>101</v>
      </c>
      <c r="F78" s="89">
        <v>58.25</v>
      </c>
      <c r="G78" s="215" t="s">
        <v>92</v>
      </c>
      <c r="H78" s="13" t="s">
        <v>102</v>
      </c>
      <c r="I78" s="13" t="s">
        <v>101</v>
      </c>
    </row>
    <row r="79" spans="1:9" x14ac:dyDescent="0.2">
      <c r="B79" s="87" t="s">
        <v>96</v>
      </c>
      <c r="C79" s="15" t="s">
        <v>22</v>
      </c>
      <c r="D79" s="13" t="s">
        <v>23</v>
      </c>
      <c r="G79" s="215" t="s">
        <v>96</v>
      </c>
      <c r="H79" s="13" t="s">
        <v>22</v>
      </c>
      <c r="I79" s="13" t="s">
        <v>23</v>
      </c>
    </row>
    <row r="81" spans="1:9" x14ac:dyDescent="0.2">
      <c r="A81" s="86" t="s">
        <v>204</v>
      </c>
      <c r="B81" s="87" t="s">
        <v>92</v>
      </c>
      <c r="C81" s="15" t="s">
        <v>101</v>
      </c>
      <c r="D81" s="13" t="s">
        <v>102</v>
      </c>
      <c r="F81" s="89">
        <v>58.26</v>
      </c>
      <c r="G81" s="215" t="s">
        <v>92</v>
      </c>
      <c r="H81" s="13" t="s">
        <v>101</v>
      </c>
      <c r="I81" s="13" t="s">
        <v>102</v>
      </c>
    </row>
    <row r="82" spans="1:9" x14ac:dyDescent="0.2">
      <c r="B82" s="87" t="s">
        <v>96</v>
      </c>
      <c r="C82" s="15" t="s">
        <v>23</v>
      </c>
      <c r="D82" s="13" t="s">
        <v>22</v>
      </c>
      <c r="G82" s="215" t="s">
        <v>96</v>
      </c>
      <c r="H82" s="13" t="s">
        <v>23</v>
      </c>
      <c r="I82" s="13" t="s">
        <v>22</v>
      </c>
    </row>
    <row r="84" spans="1:9" x14ac:dyDescent="0.2">
      <c r="A84" s="86" t="s">
        <v>205</v>
      </c>
      <c r="B84" s="87" t="s">
        <v>92</v>
      </c>
      <c r="C84" s="15" t="s">
        <v>102</v>
      </c>
      <c r="D84" s="13" t="s">
        <v>101</v>
      </c>
      <c r="F84" s="89">
        <v>58.27</v>
      </c>
      <c r="G84" s="215" t="s">
        <v>92</v>
      </c>
      <c r="H84" s="13" t="s">
        <v>102</v>
      </c>
      <c r="I84" s="13" t="s">
        <v>101</v>
      </c>
    </row>
    <row r="85" spans="1:9" x14ac:dyDescent="0.2">
      <c r="B85" s="87" t="s">
        <v>96</v>
      </c>
      <c r="C85" s="15" t="s">
        <v>23</v>
      </c>
      <c r="D85" s="13" t="s">
        <v>22</v>
      </c>
      <c r="G85" s="215" t="s">
        <v>96</v>
      </c>
      <c r="H85" s="13" t="s">
        <v>23</v>
      </c>
      <c r="I85" s="13" t="s">
        <v>22</v>
      </c>
    </row>
    <row r="87" spans="1:9" x14ac:dyDescent="0.2">
      <c r="A87" s="86" t="s">
        <v>206</v>
      </c>
      <c r="B87" s="87" t="s">
        <v>92</v>
      </c>
      <c r="C87" s="15" t="s">
        <v>101</v>
      </c>
      <c r="D87" s="13" t="s">
        <v>102</v>
      </c>
      <c r="F87" s="89">
        <v>58.28</v>
      </c>
      <c r="G87" s="215" t="s">
        <v>92</v>
      </c>
      <c r="H87" s="13" t="s">
        <v>101</v>
      </c>
      <c r="I87" s="13" t="s">
        <v>102</v>
      </c>
    </row>
    <row r="88" spans="1:9" x14ac:dyDescent="0.2">
      <c r="B88" s="87" t="s">
        <v>96</v>
      </c>
      <c r="C88" s="15" t="s">
        <v>22</v>
      </c>
      <c r="D88" s="13" t="s">
        <v>23</v>
      </c>
      <c r="G88" s="215" t="s">
        <v>96</v>
      </c>
      <c r="H88" s="13" t="s">
        <v>22</v>
      </c>
      <c r="I88" s="13" t="s">
        <v>23</v>
      </c>
    </row>
    <row r="90" spans="1:9" x14ac:dyDescent="0.2">
      <c r="A90" s="86" t="s">
        <v>207</v>
      </c>
      <c r="B90" s="87" t="s">
        <v>92</v>
      </c>
      <c r="C90" s="15" t="s">
        <v>102</v>
      </c>
      <c r="D90" s="13" t="s">
        <v>101</v>
      </c>
      <c r="F90" s="89">
        <v>58.29</v>
      </c>
      <c r="G90" s="215" t="s">
        <v>92</v>
      </c>
      <c r="H90" s="13" t="s">
        <v>102</v>
      </c>
      <c r="I90" s="13" t="s">
        <v>101</v>
      </c>
    </row>
    <row r="91" spans="1:9" x14ac:dyDescent="0.2">
      <c r="B91" s="87" t="s">
        <v>96</v>
      </c>
      <c r="C91" s="15" t="s">
        <v>22</v>
      </c>
      <c r="D91" s="13" t="s">
        <v>23</v>
      </c>
      <c r="G91" s="215" t="s">
        <v>96</v>
      </c>
      <c r="H91" s="13" t="s">
        <v>22</v>
      </c>
      <c r="I91" s="13" t="s">
        <v>23</v>
      </c>
    </row>
    <row r="93" spans="1:9" x14ac:dyDescent="0.2">
      <c r="A93" s="86" t="s">
        <v>210</v>
      </c>
      <c r="B93" s="87" t="s">
        <v>92</v>
      </c>
      <c r="C93" s="15" t="s">
        <v>101</v>
      </c>
      <c r="D93" s="13" t="s">
        <v>102</v>
      </c>
      <c r="F93" s="89">
        <v>58.3</v>
      </c>
      <c r="G93" s="215" t="s">
        <v>92</v>
      </c>
      <c r="H93" s="13" t="s">
        <v>101</v>
      </c>
      <c r="I93" s="13" t="s">
        <v>102</v>
      </c>
    </row>
    <row r="94" spans="1:9" x14ac:dyDescent="0.2">
      <c r="B94" s="87" t="s">
        <v>96</v>
      </c>
      <c r="C94" s="15" t="s">
        <v>23</v>
      </c>
      <c r="D94" s="13" t="s">
        <v>22</v>
      </c>
      <c r="G94" s="215" t="s">
        <v>96</v>
      </c>
      <c r="H94" s="13" t="s">
        <v>23</v>
      </c>
      <c r="I94" s="13" t="s">
        <v>22</v>
      </c>
    </row>
    <row r="96" spans="1:9" x14ac:dyDescent="0.2">
      <c r="A96" s="86" t="s">
        <v>208</v>
      </c>
      <c r="B96" s="87" t="s">
        <v>92</v>
      </c>
      <c r="C96" s="15" t="s">
        <v>102</v>
      </c>
      <c r="D96" s="13" t="s">
        <v>101</v>
      </c>
      <c r="F96" s="89">
        <v>58.31</v>
      </c>
      <c r="G96" s="215" t="s">
        <v>92</v>
      </c>
      <c r="H96" s="13" t="s">
        <v>102</v>
      </c>
      <c r="I96" s="13" t="s">
        <v>101</v>
      </c>
    </row>
    <row r="97" spans="1:9" x14ac:dyDescent="0.2">
      <c r="B97" s="87" t="s">
        <v>96</v>
      </c>
      <c r="C97" s="15" t="s">
        <v>23</v>
      </c>
      <c r="D97" s="13" t="s">
        <v>22</v>
      </c>
      <c r="G97" s="215" t="s">
        <v>96</v>
      </c>
      <c r="H97" s="13" t="s">
        <v>23</v>
      </c>
      <c r="I97" s="13" t="s">
        <v>22</v>
      </c>
    </row>
    <row r="99" spans="1:9" x14ac:dyDescent="0.2">
      <c r="A99" s="86" t="s">
        <v>209</v>
      </c>
      <c r="B99" s="87" t="s">
        <v>92</v>
      </c>
      <c r="C99" s="15" t="s">
        <v>101</v>
      </c>
      <c r="D99" s="13" t="s">
        <v>102</v>
      </c>
      <c r="F99" s="89">
        <v>58.32</v>
      </c>
      <c r="G99" s="215" t="s">
        <v>92</v>
      </c>
      <c r="H99" s="13" t="s">
        <v>101</v>
      </c>
      <c r="I99" s="13" t="s">
        <v>102</v>
      </c>
    </row>
    <row r="100" spans="1:9" x14ac:dyDescent="0.2">
      <c r="B100" s="87" t="s">
        <v>96</v>
      </c>
      <c r="C100" s="15" t="s">
        <v>22</v>
      </c>
      <c r="D100" s="13" t="s">
        <v>23</v>
      </c>
      <c r="G100" s="215" t="s">
        <v>96</v>
      </c>
      <c r="H100" s="13" t="s">
        <v>22</v>
      </c>
      <c r="I100" s="13" t="s">
        <v>23</v>
      </c>
    </row>
    <row r="102" spans="1:9" x14ac:dyDescent="0.2">
      <c r="A102" s="86" t="s">
        <v>468</v>
      </c>
      <c r="B102" s="87" t="s">
        <v>92</v>
      </c>
      <c r="C102" s="15" t="s">
        <v>102</v>
      </c>
      <c r="D102" s="13" t="s">
        <v>101</v>
      </c>
      <c r="F102" s="89">
        <v>58.33</v>
      </c>
      <c r="G102" s="87" t="s">
        <v>92</v>
      </c>
      <c r="H102" s="15" t="s">
        <v>102</v>
      </c>
      <c r="I102" s="13" t="s">
        <v>101</v>
      </c>
    </row>
    <row r="103" spans="1:9" x14ac:dyDescent="0.2">
      <c r="B103" s="87" t="s">
        <v>96</v>
      </c>
      <c r="C103" s="15" t="s">
        <v>22</v>
      </c>
      <c r="D103" s="13" t="s">
        <v>23</v>
      </c>
      <c r="G103" s="87" t="s">
        <v>96</v>
      </c>
      <c r="H103" s="15" t="s">
        <v>22</v>
      </c>
      <c r="I103" s="13" t="s">
        <v>23</v>
      </c>
    </row>
    <row r="104" spans="1:9" x14ac:dyDescent="0.2">
      <c r="G104" s="87"/>
      <c r="H104" s="15"/>
    </row>
    <row r="105" spans="1:9" x14ac:dyDescent="0.2">
      <c r="A105" s="86" t="s">
        <v>469</v>
      </c>
      <c r="B105" s="87" t="s">
        <v>92</v>
      </c>
      <c r="C105" s="15" t="s">
        <v>101</v>
      </c>
      <c r="D105" s="13" t="s">
        <v>102</v>
      </c>
      <c r="F105" s="89">
        <v>58.34</v>
      </c>
      <c r="G105" s="87" t="s">
        <v>92</v>
      </c>
      <c r="H105" s="15" t="s">
        <v>101</v>
      </c>
      <c r="I105" s="13" t="s">
        <v>102</v>
      </c>
    </row>
    <row r="106" spans="1:9" x14ac:dyDescent="0.2">
      <c r="B106" s="87" t="s">
        <v>96</v>
      </c>
      <c r="C106" s="15" t="s">
        <v>23</v>
      </c>
      <c r="D106" s="13" t="s">
        <v>22</v>
      </c>
      <c r="G106" s="87" t="s">
        <v>96</v>
      </c>
      <c r="H106" s="15" t="s">
        <v>23</v>
      </c>
      <c r="I106" s="13" t="s">
        <v>22</v>
      </c>
    </row>
    <row r="107" spans="1:9" x14ac:dyDescent="0.2">
      <c r="G107" s="87"/>
      <c r="H107" s="15"/>
    </row>
    <row r="108" spans="1:9" x14ac:dyDescent="0.2">
      <c r="A108" s="86" t="s">
        <v>470</v>
      </c>
      <c r="B108" s="87" t="s">
        <v>92</v>
      </c>
      <c r="C108" s="15" t="s">
        <v>102</v>
      </c>
      <c r="D108" s="13" t="s">
        <v>101</v>
      </c>
      <c r="F108" s="89">
        <v>58.35</v>
      </c>
      <c r="G108" s="87" t="s">
        <v>92</v>
      </c>
      <c r="H108" s="15" t="s">
        <v>102</v>
      </c>
      <c r="I108" s="13" t="s">
        <v>101</v>
      </c>
    </row>
    <row r="109" spans="1:9" x14ac:dyDescent="0.2">
      <c r="B109" s="87" t="s">
        <v>96</v>
      </c>
      <c r="C109" s="15" t="s">
        <v>23</v>
      </c>
      <c r="D109" s="13" t="s">
        <v>22</v>
      </c>
      <c r="G109" s="87" t="s">
        <v>96</v>
      </c>
      <c r="H109" s="15" t="s">
        <v>23</v>
      </c>
      <c r="I109" s="13" t="s">
        <v>22</v>
      </c>
    </row>
    <row r="110" spans="1:9" x14ac:dyDescent="0.2">
      <c r="G110" s="87"/>
      <c r="H110" s="15"/>
    </row>
    <row r="111" spans="1:9" x14ac:dyDescent="0.2">
      <c r="A111" s="86" t="s">
        <v>471</v>
      </c>
      <c r="B111" s="87" t="s">
        <v>92</v>
      </c>
      <c r="C111" s="15" t="s">
        <v>101</v>
      </c>
      <c r="D111" s="13" t="s">
        <v>102</v>
      </c>
      <c r="F111" s="89">
        <v>58.36</v>
      </c>
      <c r="G111" s="87" t="s">
        <v>92</v>
      </c>
      <c r="H111" s="15" t="s">
        <v>101</v>
      </c>
      <c r="I111" s="13" t="s">
        <v>102</v>
      </c>
    </row>
    <row r="112" spans="1:9" x14ac:dyDescent="0.2">
      <c r="B112" s="87" t="s">
        <v>96</v>
      </c>
      <c r="C112" s="15" t="s">
        <v>22</v>
      </c>
      <c r="D112" s="13" t="s">
        <v>23</v>
      </c>
      <c r="G112" s="87" t="s">
        <v>96</v>
      </c>
      <c r="H112" s="15" t="s">
        <v>22</v>
      </c>
      <c r="I112" s="13" t="s">
        <v>23</v>
      </c>
    </row>
    <row r="113" spans="1:9" x14ac:dyDescent="0.2">
      <c r="G113" s="87"/>
      <c r="H113" s="15"/>
    </row>
    <row r="114" spans="1:9" x14ac:dyDescent="0.2">
      <c r="A114" s="86" t="s">
        <v>472</v>
      </c>
      <c r="B114" s="87" t="s">
        <v>92</v>
      </c>
      <c r="C114" s="15" t="s">
        <v>102</v>
      </c>
      <c r="D114" s="13" t="s">
        <v>101</v>
      </c>
      <c r="F114" s="89">
        <v>58.37</v>
      </c>
      <c r="G114" s="87" t="s">
        <v>92</v>
      </c>
      <c r="H114" s="15" t="s">
        <v>102</v>
      </c>
      <c r="I114" s="13" t="s">
        <v>101</v>
      </c>
    </row>
    <row r="115" spans="1:9" x14ac:dyDescent="0.2">
      <c r="B115" s="87" t="s">
        <v>96</v>
      </c>
      <c r="C115" s="15" t="s">
        <v>22</v>
      </c>
      <c r="D115" s="13" t="s">
        <v>23</v>
      </c>
      <c r="G115" s="87" t="s">
        <v>96</v>
      </c>
      <c r="H115" s="15" t="s">
        <v>22</v>
      </c>
      <c r="I115" s="13" t="s">
        <v>23</v>
      </c>
    </row>
    <row r="117" spans="1:9" x14ac:dyDescent="0.2">
      <c r="A117" s="86" t="s">
        <v>473</v>
      </c>
      <c r="B117" s="87" t="s">
        <v>92</v>
      </c>
      <c r="C117" s="15" t="s">
        <v>101</v>
      </c>
      <c r="D117" s="13" t="s">
        <v>102</v>
      </c>
      <c r="F117" s="89">
        <v>58.38</v>
      </c>
      <c r="G117" s="87" t="s">
        <v>92</v>
      </c>
      <c r="H117" s="15" t="s">
        <v>101</v>
      </c>
      <c r="I117" s="13" t="s">
        <v>102</v>
      </c>
    </row>
    <row r="118" spans="1:9" x14ac:dyDescent="0.2">
      <c r="B118" s="87" t="s">
        <v>96</v>
      </c>
      <c r="C118" s="15" t="s">
        <v>23</v>
      </c>
      <c r="D118" s="13" t="s">
        <v>22</v>
      </c>
      <c r="G118" s="87" t="s">
        <v>96</v>
      </c>
      <c r="H118" s="15" t="s">
        <v>23</v>
      </c>
      <c r="I118" s="13" t="s">
        <v>22</v>
      </c>
    </row>
    <row r="119" spans="1:9" x14ac:dyDescent="0.2">
      <c r="G119" s="87"/>
      <c r="H119" s="15"/>
    </row>
    <row r="120" spans="1:9" x14ac:dyDescent="0.2">
      <c r="A120" s="86" t="s">
        <v>474</v>
      </c>
      <c r="B120" s="87" t="s">
        <v>92</v>
      </c>
      <c r="C120" s="15" t="s">
        <v>102</v>
      </c>
      <c r="D120" s="13" t="s">
        <v>101</v>
      </c>
      <c r="F120" s="89">
        <v>58.39</v>
      </c>
      <c r="G120" s="87" t="s">
        <v>92</v>
      </c>
      <c r="H120" s="15" t="s">
        <v>102</v>
      </c>
      <c r="I120" s="13" t="s">
        <v>101</v>
      </c>
    </row>
    <row r="121" spans="1:9" x14ac:dyDescent="0.2">
      <c r="B121" s="87" t="s">
        <v>96</v>
      </c>
      <c r="C121" s="15" t="s">
        <v>23</v>
      </c>
      <c r="D121" s="13" t="s">
        <v>22</v>
      </c>
      <c r="G121" s="87" t="s">
        <v>96</v>
      </c>
      <c r="H121" s="15" t="s">
        <v>23</v>
      </c>
      <c r="I121" s="13" t="s">
        <v>22</v>
      </c>
    </row>
    <row r="122" spans="1:9" x14ac:dyDescent="0.2">
      <c r="G122" s="87"/>
      <c r="H122" s="15"/>
    </row>
    <row r="123" spans="1:9" x14ac:dyDescent="0.2">
      <c r="A123" s="86" t="s">
        <v>475</v>
      </c>
      <c r="B123" s="87" t="s">
        <v>92</v>
      </c>
      <c r="C123" s="15" t="s">
        <v>101</v>
      </c>
      <c r="D123" s="13" t="s">
        <v>102</v>
      </c>
      <c r="F123" s="89">
        <v>58.4</v>
      </c>
      <c r="G123" s="87" t="s">
        <v>92</v>
      </c>
      <c r="H123" s="15" t="s">
        <v>101</v>
      </c>
      <c r="I123" s="13" t="s">
        <v>102</v>
      </c>
    </row>
    <row r="124" spans="1:9" x14ac:dyDescent="0.2">
      <c r="B124" s="87" t="s">
        <v>96</v>
      </c>
      <c r="C124" s="15" t="s">
        <v>22</v>
      </c>
      <c r="D124" s="13" t="s">
        <v>23</v>
      </c>
      <c r="G124" s="87" t="s">
        <v>96</v>
      </c>
      <c r="H124" s="15" t="s">
        <v>22</v>
      </c>
      <c r="I124" s="13" t="s">
        <v>23</v>
      </c>
    </row>
    <row r="125" spans="1:9" x14ac:dyDescent="0.2">
      <c r="G125" s="87"/>
      <c r="H125" s="15"/>
    </row>
    <row r="126" spans="1:9" x14ac:dyDescent="0.2">
      <c r="A126" s="86" t="s">
        <v>476</v>
      </c>
      <c r="B126" s="87" t="s">
        <v>92</v>
      </c>
      <c r="C126" s="15" t="s">
        <v>102</v>
      </c>
      <c r="D126" s="13" t="s">
        <v>101</v>
      </c>
      <c r="F126" s="89">
        <v>58.41</v>
      </c>
      <c r="G126" s="87" t="s">
        <v>92</v>
      </c>
      <c r="H126" s="15" t="s">
        <v>102</v>
      </c>
      <c r="I126" s="13" t="s">
        <v>101</v>
      </c>
    </row>
    <row r="127" spans="1:9" x14ac:dyDescent="0.2">
      <c r="B127" s="87" t="s">
        <v>96</v>
      </c>
      <c r="C127" s="15" t="s">
        <v>22</v>
      </c>
      <c r="D127" s="13" t="s">
        <v>23</v>
      </c>
      <c r="G127" s="87" t="s">
        <v>96</v>
      </c>
      <c r="H127" s="15" t="s">
        <v>22</v>
      </c>
      <c r="I127" s="13" t="s">
        <v>23</v>
      </c>
    </row>
    <row r="129" spans="1:9" x14ac:dyDescent="0.2">
      <c r="A129" s="86" t="s">
        <v>477</v>
      </c>
      <c r="B129" s="87" t="s">
        <v>92</v>
      </c>
      <c r="C129" s="15" t="s">
        <v>101</v>
      </c>
      <c r="D129" s="13" t="s">
        <v>102</v>
      </c>
      <c r="F129" s="89">
        <v>58.42</v>
      </c>
      <c r="G129" s="87" t="s">
        <v>92</v>
      </c>
      <c r="H129" s="15" t="s">
        <v>101</v>
      </c>
      <c r="I129" s="13" t="s">
        <v>102</v>
      </c>
    </row>
    <row r="130" spans="1:9" x14ac:dyDescent="0.2">
      <c r="B130" s="87" t="s">
        <v>96</v>
      </c>
      <c r="C130" s="15" t="s">
        <v>23</v>
      </c>
      <c r="D130" s="13" t="s">
        <v>22</v>
      </c>
      <c r="G130" s="87" t="s">
        <v>96</v>
      </c>
      <c r="H130" s="15" t="s">
        <v>23</v>
      </c>
      <c r="I130" s="13" t="s">
        <v>22</v>
      </c>
    </row>
    <row r="131" spans="1:9" x14ac:dyDescent="0.2">
      <c r="G131" s="87"/>
      <c r="H131" s="15"/>
    </row>
    <row r="132" spans="1:9" x14ac:dyDescent="0.2">
      <c r="A132" s="86" t="s">
        <v>478</v>
      </c>
      <c r="B132" s="87" t="s">
        <v>92</v>
      </c>
      <c r="C132" s="15" t="s">
        <v>102</v>
      </c>
      <c r="D132" s="13" t="s">
        <v>101</v>
      </c>
      <c r="F132" s="89">
        <v>58.43</v>
      </c>
      <c r="G132" s="87" t="s">
        <v>92</v>
      </c>
      <c r="H132" s="15" t="s">
        <v>102</v>
      </c>
      <c r="I132" s="13" t="s">
        <v>101</v>
      </c>
    </row>
    <row r="133" spans="1:9" x14ac:dyDescent="0.2">
      <c r="B133" s="87" t="s">
        <v>96</v>
      </c>
      <c r="C133" s="15" t="s">
        <v>23</v>
      </c>
      <c r="D133" s="13" t="s">
        <v>22</v>
      </c>
      <c r="G133" s="87" t="s">
        <v>96</v>
      </c>
      <c r="H133" s="15" t="s">
        <v>23</v>
      </c>
      <c r="I133" s="13" t="s">
        <v>22</v>
      </c>
    </row>
    <row r="134" spans="1:9" x14ac:dyDescent="0.2">
      <c r="G134" s="87"/>
      <c r="H134" s="15"/>
    </row>
    <row r="135" spans="1:9" x14ac:dyDescent="0.2">
      <c r="A135" s="86" t="s">
        <v>479</v>
      </c>
      <c r="B135" s="87" t="s">
        <v>92</v>
      </c>
      <c r="C135" s="15" t="s">
        <v>101</v>
      </c>
      <c r="D135" s="13" t="s">
        <v>102</v>
      </c>
      <c r="F135" s="89">
        <v>58.44</v>
      </c>
      <c r="G135" s="87" t="s">
        <v>92</v>
      </c>
      <c r="H135" s="15" t="s">
        <v>101</v>
      </c>
      <c r="I135" s="13" t="s">
        <v>102</v>
      </c>
    </row>
    <row r="136" spans="1:9" x14ac:dyDescent="0.2">
      <c r="B136" s="87" t="s">
        <v>96</v>
      </c>
      <c r="C136" s="15" t="s">
        <v>22</v>
      </c>
      <c r="D136" s="13" t="s">
        <v>23</v>
      </c>
      <c r="G136" s="87" t="s">
        <v>96</v>
      </c>
      <c r="H136" s="15" t="s">
        <v>22</v>
      </c>
      <c r="I136" s="13" t="s">
        <v>23</v>
      </c>
    </row>
    <row r="137" spans="1:9" x14ac:dyDescent="0.2">
      <c r="G137" s="87"/>
      <c r="H137" s="15"/>
    </row>
    <row r="138" spans="1:9" x14ac:dyDescent="0.2">
      <c r="A138" s="86" t="s">
        <v>480</v>
      </c>
      <c r="B138" s="87" t="s">
        <v>92</v>
      </c>
      <c r="C138" s="15" t="s">
        <v>102</v>
      </c>
      <c r="D138" s="13" t="s">
        <v>101</v>
      </c>
      <c r="F138" s="89">
        <v>58.45</v>
      </c>
      <c r="G138" s="87" t="s">
        <v>92</v>
      </c>
      <c r="H138" s="15" t="s">
        <v>102</v>
      </c>
      <c r="I138" s="13" t="s">
        <v>101</v>
      </c>
    </row>
    <row r="139" spans="1:9" x14ac:dyDescent="0.2">
      <c r="B139" s="87" t="s">
        <v>96</v>
      </c>
      <c r="C139" s="15" t="s">
        <v>22</v>
      </c>
      <c r="D139" s="13" t="s">
        <v>23</v>
      </c>
      <c r="G139" s="87" t="s">
        <v>96</v>
      </c>
      <c r="H139" s="15" t="s">
        <v>22</v>
      </c>
      <c r="I139" s="13" t="s">
        <v>23</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J38"/>
  <sheetViews>
    <sheetView workbookViewId="0">
      <selection activeCell="N27" sqref="N27"/>
    </sheetView>
  </sheetViews>
  <sheetFormatPr baseColWidth="10" defaultColWidth="9.1640625" defaultRowHeight="15" x14ac:dyDescent="0.2"/>
  <cols>
    <col min="1" max="1" width="14.6640625" style="438" customWidth="1"/>
    <col min="2" max="2" width="11.5" style="359" customWidth="1"/>
    <col min="3" max="4" width="11.6640625" style="359" customWidth="1"/>
    <col min="5" max="5" width="11.33203125" style="359" customWidth="1"/>
    <col min="6" max="6" width="16.1640625" style="359" bestFit="1" customWidth="1"/>
    <col min="7" max="16384" width="9.1640625" style="359"/>
  </cols>
  <sheetData>
    <row r="1" spans="1:10" ht="15" customHeight="1" x14ac:dyDescent="0.2">
      <c r="B1" s="359" t="s">
        <v>183</v>
      </c>
      <c r="C1" s="359" t="s">
        <v>177</v>
      </c>
      <c r="D1" s="359" t="s">
        <v>178</v>
      </c>
      <c r="E1" s="359" t="s">
        <v>179</v>
      </c>
      <c r="F1" s="359" t="s">
        <v>184</v>
      </c>
      <c r="G1" s="359" t="s">
        <v>180</v>
      </c>
      <c r="H1" s="359" t="s">
        <v>181</v>
      </c>
    </row>
    <row r="2" spans="1:10" s="365" customFormat="1" ht="15" customHeight="1" x14ac:dyDescent="0.2">
      <c r="A2" s="440">
        <v>54.03</v>
      </c>
      <c r="B2" s="364">
        <v>41487</v>
      </c>
      <c r="C2" s="430">
        <v>101.5</v>
      </c>
      <c r="D2" s="434">
        <v>41485</v>
      </c>
      <c r="E2" s="365">
        <v>6</v>
      </c>
      <c r="F2" s="365">
        <v>18.5</v>
      </c>
      <c r="G2" s="365">
        <v>713</v>
      </c>
      <c r="H2" s="365">
        <v>875</v>
      </c>
      <c r="I2" s="383"/>
      <c r="J2" s="383"/>
    </row>
    <row r="3" spans="1:10" ht="15" customHeight="1" x14ac:dyDescent="0.2">
      <c r="A3" s="440">
        <v>54.04</v>
      </c>
      <c r="B3" s="364">
        <v>41487</v>
      </c>
      <c r="C3" s="365">
        <v>92.5</v>
      </c>
      <c r="D3" s="364">
        <v>41485</v>
      </c>
      <c r="E3" s="365">
        <v>13</v>
      </c>
      <c r="F3" s="365">
        <v>13.7</v>
      </c>
      <c r="G3" s="365">
        <v>747</v>
      </c>
      <c r="H3" s="365">
        <v>875</v>
      </c>
      <c r="I3" s="380"/>
      <c r="J3" s="380"/>
    </row>
    <row r="4" spans="1:10" ht="15" customHeight="1" x14ac:dyDescent="0.2">
      <c r="A4" s="440">
        <v>54.05</v>
      </c>
      <c r="B4" s="364">
        <v>41491</v>
      </c>
      <c r="C4" s="365">
        <v>96.5</v>
      </c>
      <c r="D4" s="364">
        <v>41450</v>
      </c>
      <c r="E4" s="365">
        <v>7</v>
      </c>
      <c r="F4" s="365">
        <v>16.2</v>
      </c>
      <c r="G4" s="365">
        <v>998</v>
      </c>
      <c r="H4" s="365">
        <v>998</v>
      </c>
      <c r="I4" s="380"/>
      <c r="J4" s="380"/>
    </row>
    <row r="5" spans="1:10" s="365" customFormat="1" ht="15" customHeight="1" x14ac:dyDescent="0.2">
      <c r="A5" s="439">
        <v>54.06</v>
      </c>
      <c r="B5" s="366">
        <v>41533</v>
      </c>
      <c r="C5" s="363">
        <v>100</v>
      </c>
      <c r="D5" s="367">
        <v>41541</v>
      </c>
      <c r="E5" s="363">
        <v>14</v>
      </c>
      <c r="F5" s="363">
        <v>9</v>
      </c>
      <c r="G5" s="363">
        <v>837</v>
      </c>
      <c r="H5" s="363">
        <v>877</v>
      </c>
      <c r="I5" s="383"/>
      <c r="J5" s="383"/>
    </row>
    <row r="6" spans="1:10" s="365" customFormat="1" ht="15" customHeight="1" x14ac:dyDescent="0.2">
      <c r="A6" s="440">
        <v>54.07</v>
      </c>
      <c r="B6" s="364">
        <v>41512</v>
      </c>
      <c r="C6" s="365">
        <v>84.5</v>
      </c>
      <c r="D6" s="364">
        <v>41387</v>
      </c>
      <c r="E6" s="365">
        <v>21</v>
      </c>
      <c r="F6" s="365">
        <v>17.8</v>
      </c>
      <c r="G6" s="365">
        <v>462</v>
      </c>
      <c r="H6" s="365">
        <v>462</v>
      </c>
      <c r="I6" s="396"/>
      <c r="J6" s="396"/>
    </row>
    <row r="7" spans="1:10" s="365" customFormat="1" ht="15" customHeight="1" x14ac:dyDescent="0.2">
      <c r="A7" s="440">
        <v>54.08</v>
      </c>
      <c r="B7" s="364">
        <v>41523</v>
      </c>
      <c r="C7" s="365">
        <v>77</v>
      </c>
      <c r="D7" s="364">
        <v>41485</v>
      </c>
      <c r="E7" s="365">
        <v>14</v>
      </c>
      <c r="F7" s="365">
        <v>9.6</v>
      </c>
      <c r="G7" s="365">
        <v>569</v>
      </c>
      <c r="H7" s="365">
        <v>884</v>
      </c>
      <c r="I7" s="383"/>
      <c r="J7" s="383"/>
    </row>
    <row r="8" spans="1:10" s="365" customFormat="1" ht="15" customHeight="1" x14ac:dyDescent="0.2">
      <c r="A8" s="440">
        <v>54.09</v>
      </c>
      <c r="B8" s="364">
        <v>41530</v>
      </c>
      <c r="C8" s="431">
        <v>115.66666666666667</v>
      </c>
      <c r="D8" s="435">
        <v>41359</v>
      </c>
      <c r="E8" s="365">
        <v>20</v>
      </c>
      <c r="F8" s="365">
        <v>29.5</v>
      </c>
      <c r="G8" s="365">
        <v>646</v>
      </c>
      <c r="H8" s="365">
        <v>1293</v>
      </c>
      <c r="I8" s="398"/>
      <c r="J8" s="398"/>
    </row>
    <row r="9" spans="1:10" s="363" customFormat="1" ht="15" customHeight="1" x14ac:dyDescent="0.2">
      <c r="A9" s="440">
        <v>54.1</v>
      </c>
      <c r="B9" s="364">
        <v>41530</v>
      </c>
      <c r="C9" s="362">
        <v>93.5</v>
      </c>
      <c r="D9" s="361">
        <v>40981</v>
      </c>
      <c r="E9" s="365">
        <v>26</v>
      </c>
      <c r="F9" s="365">
        <v>23.1</v>
      </c>
      <c r="G9" s="365">
        <v>560</v>
      </c>
      <c r="H9" s="365">
        <v>989</v>
      </c>
      <c r="I9" s="398"/>
      <c r="J9" s="398"/>
    </row>
    <row r="10" spans="1:10" ht="15" customHeight="1" x14ac:dyDescent="0.2">
      <c r="A10" s="439">
        <v>54.11</v>
      </c>
      <c r="B10" s="366">
        <v>41547</v>
      </c>
      <c r="C10" s="359">
        <v>102</v>
      </c>
      <c r="D10" s="360">
        <v>41422</v>
      </c>
      <c r="E10" s="359">
        <v>18</v>
      </c>
      <c r="F10" s="359">
        <v>13.3</v>
      </c>
      <c r="G10" s="359">
        <v>447</v>
      </c>
      <c r="H10" s="359">
        <v>967</v>
      </c>
      <c r="I10" s="383"/>
      <c r="J10" s="383"/>
    </row>
    <row r="11" spans="1:10" ht="15" customHeight="1" x14ac:dyDescent="0.2">
      <c r="A11" s="439">
        <v>54.12</v>
      </c>
      <c r="B11" s="366">
        <v>41558</v>
      </c>
      <c r="C11" s="359">
        <v>102.5</v>
      </c>
      <c r="D11" s="360">
        <v>41513</v>
      </c>
      <c r="E11" s="359">
        <v>28</v>
      </c>
      <c r="F11" s="359">
        <v>25.75</v>
      </c>
      <c r="G11" s="359">
        <v>606</v>
      </c>
      <c r="H11" s="359">
        <v>986</v>
      </c>
      <c r="I11" s="383"/>
      <c r="J11" s="383"/>
    </row>
    <row r="12" spans="1:10" ht="15" customHeight="1" x14ac:dyDescent="0.2">
      <c r="A12" s="439">
        <v>54.13</v>
      </c>
      <c r="B12" s="366">
        <v>41504</v>
      </c>
      <c r="C12" s="359">
        <v>106.5</v>
      </c>
      <c r="D12" s="360">
        <v>41422</v>
      </c>
      <c r="E12" s="359">
        <v>13</v>
      </c>
      <c r="F12" s="359">
        <v>30.25</v>
      </c>
      <c r="G12" s="359">
        <v>706</v>
      </c>
      <c r="H12" s="359">
        <v>811</v>
      </c>
      <c r="I12" s="383"/>
      <c r="J12" s="383"/>
    </row>
    <row r="13" spans="1:10" s="365" customFormat="1" ht="15" customHeight="1" x14ac:dyDescent="0.2">
      <c r="A13" s="439">
        <v>54.14</v>
      </c>
      <c r="B13" s="366">
        <v>41568</v>
      </c>
      <c r="C13" s="359">
        <v>36</v>
      </c>
      <c r="D13" s="360">
        <v>41569</v>
      </c>
      <c r="E13" s="359">
        <v>23</v>
      </c>
      <c r="F13" s="359">
        <v>7</v>
      </c>
      <c r="G13" s="359">
        <v>301</v>
      </c>
      <c r="H13" s="359">
        <v>1135</v>
      </c>
      <c r="I13" s="383"/>
      <c r="J13" s="383"/>
    </row>
    <row r="14" spans="1:10" s="365" customFormat="1" ht="15" customHeight="1" x14ac:dyDescent="0.2">
      <c r="A14" s="439">
        <v>54.15</v>
      </c>
      <c r="B14" s="366">
        <v>41568</v>
      </c>
      <c r="C14" s="359">
        <v>37.5</v>
      </c>
      <c r="D14" s="360">
        <v>41569</v>
      </c>
      <c r="E14" s="359">
        <v>23</v>
      </c>
      <c r="F14" s="359">
        <v>9.08</v>
      </c>
      <c r="G14" s="359">
        <v>291</v>
      </c>
      <c r="H14" s="359">
        <v>912</v>
      </c>
      <c r="I14" s="383"/>
      <c r="J14" s="383"/>
    </row>
    <row r="15" spans="1:10" ht="15" customHeight="1" x14ac:dyDescent="0.2">
      <c r="A15" s="441">
        <v>54.16</v>
      </c>
      <c r="B15" s="360">
        <v>41568</v>
      </c>
      <c r="C15" s="359">
        <v>76.5</v>
      </c>
      <c r="D15" s="360">
        <v>41604</v>
      </c>
      <c r="E15" s="359">
        <v>19</v>
      </c>
      <c r="F15" s="359">
        <v>18</v>
      </c>
      <c r="G15" s="359">
        <v>476</v>
      </c>
      <c r="H15" s="359">
        <v>545</v>
      </c>
      <c r="I15" s="383"/>
      <c r="J15" s="383"/>
    </row>
    <row r="16" spans="1:10" ht="15" customHeight="1" x14ac:dyDescent="0.2">
      <c r="A16" s="439">
        <v>54.17</v>
      </c>
      <c r="B16" s="366">
        <v>41575</v>
      </c>
      <c r="C16" s="359">
        <v>85.5</v>
      </c>
      <c r="D16" s="360">
        <v>41576</v>
      </c>
      <c r="E16" s="359">
        <v>24</v>
      </c>
      <c r="F16" s="359">
        <v>20.83</v>
      </c>
      <c r="G16" s="359">
        <v>682</v>
      </c>
      <c r="H16" s="359">
        <v>1041</v>
      </c>
      <c r="I16" s="383"/>
      <c r="J16" s="383"/>
    </row>
    <row r="17" spans="1:10" ht="15" customHeight="1" x14ac:dyDescent="0.2">
      <c r="A17" s="442">
        <v>54.18</v>
      </c>
      <c r="B17" s="366">
        <v>41548</v>
      </c>
      <c r="C17" s="359">
        <v>85.2</v>
      </c>
      <c r="D17" s="360">
        <v>41296</v>
      </c>
      <c r="E17" s="359">
        <v>21</v>
      </c>
      <c r="F17" s="359">
        <v>15</v>
      </c>
      <c r="G17" s="359">
        <v>527</v>
      </c>
      <c r="H17" s="359">
        <v>1058</v>
      </c>
      <c r="I17" s="384"/>
      <c r="J17" s="384"/>
    </row>
    <row r="18" spans="1:10" ht="15" customHeight="1" x14ac:dyDescent="0.2">
      <c r="A18" s="443">
        <v>54.19</v>
      </c>
      <c r="B18" s="361">
        <v>41498</v>
      </c>
      <c r="C18" s="424">
        <v>55.5</v>
      </c>
      <c r="D18" s="425">
        <v>41331</v>
      </c>
      <c r="E18" s="362">
        <v>16</v>
      </c>
      <c r="F18" s="362">
        <v>9.6</v>
      </c>
      <c r="G18" s="362">
        <v>558</v>
      </c>
      <c r="H18" s="362">
        <v>784</v>
      </c>
      <c r="I18" s="403"/>
      <c r="J18" s="403"/>
    </row>
    <row r="19" spans="1:10" ht="15" customHeight="1" x14ac:dyDescent="0.2">
      <c r="A19" s="440">
        <v>54.2</v>
      </c>
      <c r="B19" s="360">
        <v>41603</v>
      </c>
      <c r="C19" s="359">
        <v>64</v>
      </c>
      <c r="D19" s="360">
        <v>41604</v>
      </c>
      <c r="E19" s="359">
        <v>40</v>
      </c>
      <c r="F19" s="359">
        <v>12.583333333333</v>
      </c>
      <c r="G19" s="359">
        <v>318</v>
      </c>
      <c r="H19" s="359">
        <v>515</v>
      </c>
      <c r="I19" s="405"/>
      <c r="J19" s="405"/>
    </row>
    <row r="20" spans="1:10" s="362" customFormat="1" ht="15" customHeight="1" x14ac:dyDescent="0.2">
      <c r="A20" s="444">
        <v>54.21</v>
      </c>
      <c r="B20" s="360">
        <v>41607</v>
      </c>
      <c r="C20" s="359">
        <v>83</v>
      </c>
      <c r="D20" s="360">
        <v>41604</v>
      </c>
      <c r="E20" s="359">
        <v>14</v>
      </c>
      <c r="F20" s="359">
        <v>9.25</v>
      </c>
      <c r="G20" s="359">
        <v>471</v>
      </c>
      <c r="H20" s="359">
        <v>590</v>
      </c>
      <c r="I20" s="406"/>
      <c r="J20" s="406"/>
    </row>
    <row r="21" spans="1:10" ht="15" customHeight="1" x14ac:dyDescent="0.2">
      <c r="A21" s="445">
        <v>54.22</v>
      </c>
      <c r="B21" s="360">
        <v>41607</v>
      </c>
      <c r="C21" s="359">
        <v>66.5</v>
      </c>
      <c r="D21" s="360">
        <v>41604</v>
      </c>
      <c r="E21" s="359">
        <v>14</v>
      </c>
      <c r="F21" s="359">
        <v>14.75</v>
      </c>
      <c r="G21" s="359">
        <v>552</v>
      </c>
      <c r="H21" s="359">
        <v>552</v>
      </c>
      <c r="I21" s="406"/>
      <c r="J21" s="406"/>
    </row>
    <row r="22" spans="1:10" ht="16" x14ac:dyDescent="0.2">
      <c r="A22" s="446">
        <v>54.23</v>
      </c>
      <c r="C22" s="359">
        <v>24</v>
      </c>
      <c r="D22" s="360">
        <v>41695</v>
      </c>
      <c r="E22" s="359">
        <v>19</v>
      </c>
      <c r="F22" s="359">
        <v>5</v>
      </c>
      <c r="G22" s="359">
        <v>215</v>
      </c>
      <c r="H22" s="359">
        <v>215</v>
      </c>
      <c r="I22" s="406"/>
      <c r="J22" s="406"/>
    </row>
    <row r="23" spans="1:10" ht="16" x14ac:dyDescent="0.2">
      <c r="A23" s="446">
        <v>54.24</v>
      </c>
      <c r="C23" s="359">
        <v>107</v>
      </c>
      <c r="D23" s="360">
        <v>41704</v>
      </c>
      <c r="E23" s="359">
        <v>17</v>
      </c>
      <c r="F23" s="359">
        <v>45.416666666666998</v>
      </c>
      <c r="G23" s="359">
        <v>359</v>
      </c>
      <c r="H23" s="359">
        <v>1145</v>
      </c>
      <c r="I23" s="382"/>
      <c r="J23" s="382"/>
    </row>
    <row r="24" spans="1:10" ht="16" x14ac:dyDescent="0.2">
      <c r="A24" s="446">
        <v>54.25</v>
      </c>
      <c r="C24" s="359">
        <v>42</v>
      </c>
      <c r="D24" s="360">
        <v>41711</v>
      </c>
      <c r="E24" s="359">
        <v>29</v>
      </c>
      <c r="F24" s="359">
        <v>9.0833333333333002</v>
      </c>
      <c r="G24" s="359">
        <v>215</v>
      </c>
      <c r="H24" s="359">
        <v>237</v>
      </c>
      <c r="I24" s="382"/>
      <c r="J24" s="382"/>
    </row>
    <row r="25" spans="1:10" ht="16" x14ac:dyDescent="0.2">
      <c r="A25" s="446">
        <v>54.26</v>
      </c>
      <c r="C25" s="359">
        <v>97</v>
      </c>
      <c r="D25" s="360">
        <v>41723</v>
      </c>
      <c r="E25" s="359">
        <v>14</v>
      </c>
      <c r="F25" s="359">
        <v>18.75</v>
      </c>
      <c r="G25" s="359">
        <v>833</v>
      </c>
      <c r="H25" s="359">
        <v>835</v>
      </c>
      <c r="I25" s="407"/>
      <c r="J25" s="407"/>
    </row>
    <row r="26" spans="1:10" ht="16" x14ac:dyDescent="0.2">
      <c r="A26" s="446">
        <v>54.27</v>
      </c>
      <c r="C26" s="359">
        <v>126</v>
      </c>
      <c r="D26" s="360">
        <v>41751</v>
      </c>
      <c r="E26" s="359">
        <v>15</v>
      </c>
      <c r="F26" s="359">
        <v>48.333333333333002</v>
      </c>
      <c r="G26" s="359">
        <v>497</v>
      </c>
      <c r="H26" s="359">
        <v>1027</v>
      </c>
      <c r="I26" s="382"/>
      <c r="J26" s="382"/>
    </row>
    <row r="27" spans="1:10" ht="16" x14ac:dyDescent="0.2">
      <c r="A27" s="446">
        <v>54.28</v>
      </c>
      <c r="C27" s="359">
        <v>93</v>
      </c>
      <c r="D27" s="360">
        <v>41758</v>
      </c>
      <c r="E27" s="359">
        <v>11</v>
      </c>
      <c r="F27" s="359">
        <v>13.833333333333</v>
      </c>
      <c r="G27" s="359">
        <v>739</v>
      </c>
      <c r="H27" s="359">
        <v>891</v>
      </c>
      <c r="I27" s="407"/>
      <c r="J27" s="407"/>
    </row>
    <row r="28" spans="1:10" ht="16" x14ac:dyDescent="0.2">
      <c r="A28" s="446">
        <v>54.29</v>
      </c>
      <c r="C28" s="368">
        <v>108</v>
      </c>
      <c r="D28" s="360">
        <v>41760</v>
      </c>
      <c r="E28" s="359">
        <v>11</v>
      </c>
      <c r="F28" s="359">
        <v>11.166666666667</v>
      </c>
      <c r="G28" s="359">
        <v>659</v>
      </c>
      <c r="H28" s="359">
        <v>865</v>
      </c>
      <c r="I28" s="382"/>
      <c r="J28" s="382"/>
    </row>
    <row r="29" spans="1:10" ht="16" x14ac:dyDescent="0.2">
      <c r="A29" s="446">
        <v>54.3</v>
      </c>
      <c r="C29" s="368">
        <v>119</v>
      </c>
      <c r="D29" s="360">
        <v>41760</v>
      </c>
      <c r="E29" s="359">
        <v>9</v>
      </c>
      <c r="F29" s="359">
        <v>14.666666666667</v>
      </c>
      <c r="G29" s="359">
        <v>694</v>
      </c>
      <c r="H29" s="359">
        <v>1000</v>
      </c>
      <c r="I29" s="382"/>
      <c r="J29" s="382"/>
    </row>
    <row r="30" spans="1:10" ht="16" x14ac:dyDescent="0.2">
      <c r="A30" s="446">
        <v>54.31</v>
      </c>
      <c r="C30" s="368">
        <v>88</v>
      </c>
      <c r="D30" s="360">
        <v>41767</v>
      </c>
      <c r="E30" s="359">
        <v>23</v>
      </c>
      <c r="F30" s="359">
        <v>18.166666666666998</v>
      </c>
      <c r="G30" s="359">
        <v>554</v>
      </c>
      <c r="H30" s="359">
        <v>992</v>
      </c>
      <c r="I30" s="382"/>
      <c r="J30" s="382"/>
    </row>
    <row r="31" spans="1:10" s="362" customFormat="1" x14ac:dyDescent="0.2">
      <c r="A31" s="438">
        <v>54.32</v>
      </c>
      <c r="B31" s="359"/>
      <c r="C31" s="432">
        <v>106</v>
      </c>
      <c r="D31" s="436">
        <v>41774</v>
      </c>
      <c r="E31" s="432">
        <v>20</v>
      </c>
      <c r="F31" s="432">
        <v>36.25</v>
      </c>
      <c r="G31" s="359">
        <v>1077</v>
      </c>
      <c r="H31" s="359">
        <v>1077</v>
      </c>
      <c r="I31" s="383"/>
      <c r="J31" s="383"/>
    </row>
    <row r="32" spans="1:10" x14ac:dyDescent="0.2">
      <c r="A32" s="447">
        <v>54.33</v>
      </c>
      <c r="B32" s="362"/>
      <c r="C32" s="433">
        <v>78</v>
      </c>
      <c r="D32" s="437">
        <v>41877</v>
      </c>
      <c r="E32" s="433">
        <v>25</v>
      </c>
      <c r="F32" s="433">
        <v>20.75</v>
      </c>
      <c r="G32" s="362">
        <v>284</v>
      </c>
      <c r="H32" s="362">
        <v>984</v>
      </c>
      <c r="I32" s="382"/>
      <c r="J32" s="382"/>
    </row>
    <row r="33" spans="1:10" x14ac:dyDescent="0.2">
      <c r="A33" s="438">
        <v>54.34</v>
      </c>
      <c r="C33" s="369">
        <v>90.5</v>
      </c>
      <c r="D33" s="370">
        <v>41781</v>
      </c>
      <c r="E33" s="369">
        <v>13</v>
      </c>
      <c r="F33" s="369">
        <v>12.166666666666666</v>
      </c>
      <c r="G33" s="369">
        <v>538</v>
      </c>
      <c r="H33" s="369">
        <v>538</v>
      </c>
      <c r="I33" s="381"/>
      <c r="J33" s="381"/>
    </row>
    <row r="34" spans="1:10" x14ac:dyDescent="0.2">
      <c r="A34" s="438">
        <v>54.35</v>
      </c>
      <c r="C34" s="359">
        <v>66</v>
      </c>
      <c r="D34" s="360">
        <v>41788</v>
      </c>
      <c r="E34" s="359">
        <v>30</v>
      </c>
      <c r="F34" s="359">
        <v>19.5</v>
      </c>
      <c r="G34" s="359">
        <v>323</v>
      </c>
      <c r="H34" s="359">
        <v>1046</v>
      </c>
      <c r="I34" s="382"/>
      <c r="J34" s="382"/>
    </row>
    <row r="35" spans="1:10" x14ac:dyDescent="0.2">
      <c r="A35" s="438">
        <v>54.36</v>
      </c>
      <c r="C35" s="359">
        <v>71.5</v>
      </c>
      <c r="D35" s="360">
        <v>41795</v>
      </c>
      <c r="E35" s="359">
        <v>34</v>
      </c>
      <c r="F35" s="359">
        <v>20.83</v>
      </c>
      <c r="G35" s="359">
        <v>126</v>
      </c>
      <c r="H35" s="359">
        <v>924</v>
      </c>
      <c r="I35" s="382"/>
      <c r="J35" s="382"/>
    </row>
    <row r="36" spans="1:10" x14ac:dyDescent="0.2">
      <c r="A36" s="438">
        <v>54.37</v>
      </c>
      <c r="C36" s="359">
        <v>41</v>
      </c>
      <c r="D36" s="426">
        <v>41806</v>
      </c>
      <c r="E36" s="359">
        <v>12</v>
      </c>
      <c r="F36" s="359">
        <v>6.1</v>
      </c>
      <c r="G36" s="359">
        <v>685</v>
      </c>
      <c r="H36" s="359">
        <v>1064</v>
      </c>
      <c r="I36" s="378"/>
      <c r="J36" s="378"/>
    </row>
    <row r="37" spans="1:10" x14ac:dyDescent="0.2">
      <c r="A37" s="438">
        <v>54.38</v>
      </c>
      <c r="C37" s="359">
        <v>19</v>
      </c>
      <c r="D37" s="360">
        <v>41760</v>
      </c>
      <c r="E37" s="359">
        <v>39</v>
      </c>
      <c r="F37" s="359">
        <v>7.75</v>
      </c>
      <c r="G37" s="359">
        <v>410</v>
      </c>
      <c r="H37" s="359">
        <v>1088</v>
      </c>
      <c r="I37" s="378"/>
      <c r="J37" s="382"/>
    </row>
    <row r="38" spans="1:10" x14ac:dyDescent="0.2">
      <c r="A38" s="448"/>
      <c r="B38" s="427"/>
      <c r="C38" s="427"/>
      <c r="D38" s="427"/>
      <c r="E38" s="427"/>
      <c r="F38" s="427"/>
    </row>
  </sheetData>
  <sortState ref="A3:I38">
    <sortCondition ref="A1"/>
  </sortState>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 DATA MERGED</vt:lpstr>
      <vt:lpstr>Neurocog scores</vt:lpstr>
      <vt:lpstr>NART conversion scores</vt:lpstr>
      <vt:lpstr>Motor stats</vt:lpstr>
      <vt:lpstr>Motor stats yr 3</vt:lpstr>
      <vt:lpstr>nback stats</vt:lpstr>
      <vt:lpstr>Order of runs</vt:lpstr>
      <vt:lpstr>Clinical data</vt:lpstr>
    </vt:vector>
  </TitlesOfParts>
  <Company>Monash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Monique Stagnitti</dc:creator>
  <cp:lastModifiedBy>Ian Harding</cp:lastModifiedBy>
  <cp:lastPrinted>2014-05-20T04:42:36Z</cp:lastPrinted>
  <dcterms:created xsi:type="dcterms:W3CDTF">2013-07-18T02:52:19Z</dcterms:created>
  <dcterms:modified xsi:type="dcterms:W3CDTF">2021-03-31T02:38:16Z</dcterms:modified>
</cp:coreProperties>
</file>